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D96F949-F96B-497B-9FE0-CAD23D667A5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ECEMBER 2021" sheetId="1" r:id="rId1"/>
    <sheet name="JANUARY 2022" sheetId="2" r:id="rId2"/>
    <sheet name="FEBRUARY 2022" sheetId="3" r:id="rId3"/>
    <sheet name="GRAPHS" sheetId="4" r:id="rId4"/>
  </sheets>
  <definedNames>
    <definedName name="_xlnm._FilterDatabase" localSheetId="0" hidden="1">'DECEMBER 2021'!$H$1:$H$405</definedName>
    <definedName name="_xlnm._FilterDatabase" localSheetId="2" hidden="1">'FEBRUARY 2022'!$H$2:$H$366</definedName>
    <definedName name="_xlnm._FilterDatabase" localSheetId="1" hidden="1">'JANUARY 2022'!$H$2:$H$405</definedName>
    <definedName name="_xlchart.v1.0" hidden="1">GRAPHS!$AF$6</definedName>
    <definedName name="_xlchart.v1.1" hidden="1">GRAPHS!$AF$7:$AF$34</definedName>
    <definedName name="_xlchart.v1.2" hidden="1">GRAPHS!$AG$6</definedName>
    <definedName name="_xlchart.v1.3" hidden="1">GRAPHS!$AG$7:$AG$34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5" i="3" l="1"/>
  <c r="F66" i="3"/>
  <c r="F68" i="3"/>
  <c r="F69" i="3"/>
  <c r="F70" i="3"/>
  <c r="F71" i="3"/>
  <c r="F72" i="3"/>
  <c r="F73" i="3"/>
  <c r="F74" i="3"/>
  <c r="F75" i="3"/>
  <c r="F76" i="3"/>
  <c r="F77" i="3"/>
  <c r="F78" i="3"/>
  <c r="F79" i="3"/>
  <c r="F81" i="3"/>
  <c r="F82" i="3"/>
  <c r="F83" i="3"/>
  <c r="F84" i="3"/>
  <c r="F85" i="3"/>
  <c r="F86" i="3"/>
  <c r="F87" i="3"/>
  <c r="F88" i="3"/>
  <c r="F89" i="3"/>
  <c r="F90" i="3"/>
  <c r="F91" i="3"/>
  <c r="F92" i="3"/>
  <c r="F94" i="3"/>
  <c r="F95" i="3"/>
  <c r="F96" i="3"/>
  <c r="F97" i="3"/>
  <c r="F98" i="3"/>
  <c r="F99" i="3"/>
  <c r="F100" i="3"/>
  <c r="F101" i="3"/>
  <c r="F102" i="3"/>
  <c r="F103" i="3"/>
  <c r="F104" i="3"/>
  <c r="F105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K22" i="3"/>
  <c r="K96" i="3"/>
  <c r="K185" i="3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N9" i="3" s="1"/>
  <c r="J10" i="3"/>
  <c r="K10" i="3" s="1"/>
  <c r="J11" i="3"/>
  <c r="K11" i="3" s="1"/>
  <c r="J12" i="3"/>
  <c r="K12" i="3" s="1"/>
  <c r="J13" i="3"/>
  <c r="K13" i="3" s="1"/>
  <c r="J14" i="3"/>
  <c r="K14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J23" i="3"/>
  <c r="K23" i="3" s="1"/>
  <c r="J24" i="3"/>
  <c r="K24" i="3" s="1"/>
  <c r="J25" i="3"/>
  <c r="K25" i="3" s="1"/>
  <c r="J26" i="3"/>
  <c r="K26" i="3" s="1"/>
  <c r="N26" i="3" s="1"/>
  <c r="J27" i="3"/>
  <c r="K27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2" i="3"/>
  <c r="K42" i="3" s="1"/>
  <c r="J43" i="3"/>
  <c r="K43" i="3" s="1"/>
  <c r="J44" i="3"/>
  <c r="K44" i="3" s="1"/>
  <c r="J45" i="3"/>
  <c r="K45" i="3" s="1"/>
  <c r="J46" i="3"/>
  <c r="K46" i="3" s="1"/>
  <c r="J47" i="3"/>
  <c r="K47" i="3" s="1"/>
  <c r="J48" i="3"/>
  <c r="K48" i="3" s="1"/>
  <c r="J49" i="3"/>
  <c r="K49" i="3" s="1"/>
  <c r="J50" i="3"/>
  <c r="K50" i="3" s="1"/>
  <c r="J51" i="3"/>
  <c r="K51" i="3" s="1"/>
  <c r="J52" i="3"/>
  <c r="K52" i="3" s="1"/>
  <c r="J53" i="3"/>
  <c r="K53" i="3" s="1"/>
  <c r="J55" i="3"/>
  <c r="K55" i="3" s="1"/>
  <c r="J56" i="3"/>
  <c r="K56" i="3" s="1"/>
  <c r="J57" i="3"/>
  <c r="K57" i="3" s="1"/>
  <c r="J58" i="3"/>
  <c r="K58" i="3" s="1"/>
  <c r="J59" i="3"/>
  <c r="K59" i="3" s="1"/>
  <c r="J60" i="3"/>
  <c r="K60" i="3" s="1"/>
  <c r="J61" i="3"/>
  <c r="K61" i="3" s="1"/>
  <c r="J62" i="3"/>
  <c r="K62" i="3" s="1"/>
  <c r="J63" i="3"/>
  <c r="K63" i="3" s="1"/>
  <c r="J64" i="3"/>
  <c r="K64" i="3" s="1"/>
  <c r="J65" i="3"/>
  <c r="K65" i="3" s="1"/>
  <c r="J66" i="3"/>
  <c r="K66" i="3" s="1"/>
  <c r="J68" i="3"/>
  <c r="K68" i="3" s="1"/>
  <c r="J69" i="3"/>
  <c r="K69" i="3" s="1"/>
  <c r="J70" i="3"/>
  <c r="K70" i="3" s="1"/>
  <c r="J71" i="3"/>
  <c r="K71" i="3" s="1"/>
  <c r="J72" i="3"/>
  <c r="K72" i="3" s="1"/>
  <c r="J73" i="3"/>
  <c r="K73" i="3" s="1"/>
  <c r="J74" i="3"/>
  <c r="K74" i="3" s="1"/>
  <c r="J75" i="3"/>
  <c r="K75" i="3" s="1"/>
  <c r="J76" i="3"/>
  <c r="K76" i="3" s="1"/>
  <c r="J77" i="3"/>
  <c r="K77" i="3" s="1"/>
  <c r="J78" i="3"/>
  <c r="K78" i="3" s="1"/>
  <c r="N78" i="3" s="1"/>
  <c r="J79" i="3"/>
  <c r="K79" i="3" s="1"/>
  <c r="J81" i="3"/>
  <c r="K81" i="3" s="1"/>
  <c r="J82" i="3"/>
  <c r="K82" i="3" s="1"/>
  <c r="J83" i="3"/>
  <c r="K83" i="3" s="1"/>
  <c r="J84" i="3"/>
  <c r="K84" i="3" s="1"/>
  <c r="J85" i="3"/>
  <c r="K85" i="3" s="1"/>
  <c r="J86" i="3"/>
  <c r="K86" i="3" s="1"/>
  <c r="J87" i="3"/>
  <c r="K87" i="3" s="1"/>
  <c r="J88" i="3"/>
  <c r="K88" i="3" s="1"/>
  <c r="J89" i="3"/>
  <c r="K89" i="3" s="1"/>
  <c r="J90" i="3"/>
  <c r="K90" i="3" s="1"/>
  <c r="J91" i="3"/>
  <c r="K91" i="3" s="1"/>
  <c r="J92" i="3"/>
  <c r="K92" i="3" s="1"/>
  <c r="J94" i="3"/>
  <c r="K94" i="3" s="1"/>
  <c r="J95" i="3"/>
  <c r="K95" i="3" s="1"/>
  <c r="J96" i="3"/>
  <c r="J97" i="3"/>
  <c r="K97" i="3" s="1"/>
  <c r="J98" i="3"/>
  <c r="K98" i="3" s="1"/>
  <c r="J99" i="3"/>
  <c r="K99" i="3" s="1"/>
  <c r="J100" i="3"/>
  <c r="K100" i="3" s="1"/>
  <c r="J101" i="3"/>
  <c r="K101" i="3" s="1"/>
  <c r="J102" i="3"/>
  <c r="K102" i="3" s="1"/>
  <c r="J103" i="3"/>
  <c r="K103" i="3" s="1"/>
  <c r="J104" i="3"/>
  <c r="K104" i="3" s="1"/>
  <c r="J105" i="3"/>
  <c r="K105" i="3" s="1"/>
  <c r="J107" i="3"/>
  <c r="K107" i="3" s="1"/>
  <c r="J108" i="3"/>
  <c r="K108" i="3" s="1"/>
  <c r="J109" i="3"/>
  <c r="K109" i="3" s="1"/>
  <c r="J110" i="3"/>
  <c r="K110" i="3" s="1"/>
  <c r="J111" i="3"/>
  <c r="K111" i="3" s="1"/>
  <c r="J112" i="3"/>
  <c r="K112" i="3" s="1"/>
  <c r="J113" i="3"/>
  <c r="K113" i="3" s="1"/>
  <c r="J114" i="3"/>
  <c r="K114" i="3" s="1"/>
  <c r="J115" i="3"/>
  <c r="K115" i="3" s="1"/>
  <c r="J116" i="3"/>
  <c r="K116" i="3" s="1"/>
  <c r="J117" i="3"/>
  <c r="K117" i="3" s="1"/>
  <c r="J118" i="3"/>
  <c r="K118" i="3" s="1"/>
  <c r="J120" i="3"/>
  <c r="K120" i="3" s="1"/>
  <c r="J121" i="3"/>
  <c r="K121" i="3" s="1"/>
  <c r="J122" i="3"/>
  <c r="K122" i="3" s="1"/>
  <c r="J123" i="3"/>
  <c r="K123" i="3" s="1"/>
  <c r="J124" i="3"/>
  <c r="K124" i="3" s="1"/>
  <c r="J125" i="3"/>
  <c r="K125" i="3" s="1"/>
  <c r="J126" i="3"/>
  <c r="K126" i="3" s="1"/>
  <c r="J127" i="3"/>
  <c r="K127" i="3" s="1"/>
  <c r="J128" i="3"/>
  <c r="K128" i="3" s="1"/>
  <c r="J129" i="3"/>
  <c r="K129" i="3" s="1"/>
  <c r="J130" i="3"/>
  <c r="K130" i="3" s="1"/>
  <c r="J131" i="3"/>
  <c r="K131" i="3" s="1"/>
  <c r="J133" i="3"/>
  <c r="K133" i="3" s="1"/>
  <c r="J134" i="3"/>
  <c r="K134" i="3" s="1"/>
  <c r="J135" i="3"/>
  <c r="K135" i="3" s="1"/>
  <c r="J136" i="3"/>
  <c r="K136" i="3" s="1"/>
  <c r="J137" i="3"/>
  <c r="K137" i="3" s="1"/>
  <c r="J138" i="3"/>
  <c r="K138" i="3" s="1"/>
  <c r="J139" i="3"/>
  <c r="K139" i="3" s="1"/>
  <c r="J140" i="3"/>
  <c r="K140" i="3" s="1"/>
  <c r="J141" i="3"/>
  <c r="K141" i="3" s="1"/>
  <c r="J142" i="3"/>
  <c r="K142" i="3" s="1"/>
  <c r="J143" i="3"/>
  <c r="K143" i="3" s="1"/>
  <c r="J144" i="3"/>
  <c r="K144" i="3" s="1"/>
  <c r="J146" i="3"/>
  <c r="K146" i="3" s="1"/>
  <c r="J147" i="3"/>
  <c r="K147" i="3" s="1"/>
  <c r="J148" i="3"/>
  <c r="K148" i="3" s="1"/>
  <c r="J149" i="3"/>
  <c r="K149" i="3" s="1"/>
  <c r="J150" i="3"/>
  <c r="K150" i="3" s="1"/>
  <c r="J151" i="3"/>
  <c r="K151" i="3" s="1"/>
  <c r="J152" i="3"/>
  <c r="K152" i="3" s="1"/>
  <c r="J153" i="3"/>
  <c r="K153" i="3" s="1"/>
  <c r="J154" i="3"/>
  <c r="K154" i="3" s="1"/>
  <c r="J155" i="3"/>
  <c r="K155" i="3" s="1"/>
  <c r="J156" i="3"/>
  <c r="K156" i="3" s="1"/>
  <c r="J157" i="3"/>
  <c r="K157" i="3" s="1"/>
  <c r="J159" i="3"/>
  <c r="K159" i="3" s="1"/>
  <c r="J160" i="3"/>
  <c r="K160" i="3" s="1"/>
  <c r="J161" i="3"/>
  <c r="K161" i="3" s="1"/>
  <c r="J162" i="3"/>
  <c r="K162" i="3" s="1"/>
  <c r="J163" i="3"/>
  <c r="K163" i="3" s="1"/>
  <c r="J164" i="3"/>
  <c r="K164" i="3" s="1"/>
  <c r="J165" i="3"/>
  <c r="K165" i="3" s="1"/>
  <c r="J166" i="3"/>
  <c r="K166" i="3" s="1"/>
  <c r="J167" i="3"/>
  <c r="K167" i="3" s="1"/>
  <c r="J168" i="3"/>
  <c r="K168" i="3" s="1"/>
  <c r="J169" i="3"/>
  <c r="K169" i="3" s="1"/>
  <c r="J170" i="3"/>
  <c r="K170" i="3" s="1"/>
  <c r="J172" i="3"/>
  <c r="K172" i="3" s="1"/>
  <c r="J173" i="3"/>
  <c r="K173" i="3" s="1"/>
  <c r="J174" i="3"/>
  <c r="K174" i="3" s="1"/>
  <c r="J175" i="3"/>
  <c r="K175" i="3" s="1"/>
  <c r="J176" i="3"/>
  <c r="K176" i="3" s="1"/>
  <c r="J177" i="3"/>
  <c r="K177" i="3" s="1"/>
  <c r="J178" i="3"/>
  <c r="K178" i="3" s="1"/>
  <c r="J179" i="3"/>
  <c r="K179" i="3" s="1"/>
  <c r="J180" i="3"/>
  <c r="K180" i="3" s="1"/>
  <c r="J181" i="3"/>
  <c r="K181" i="3" s="1"/>
  <c r="J182" i="3"/>
  <c r="K182" i="3" s="1"/>
  <c r="J183" i="3"/>
  <c r="K183" i="3" s="1"/>
  <c r="J185" i="3"/>
  <c r="J186" i="3"/>
  <c r="K186" i="3" s="1"/>
  <c r="J187" i="3"/>
  <c r="K187" i="3" s="1"/>
  <c r="J188" i="3"/>
  <c r="K188" i="3" s="1"/>
  <c r="J189" i="3"/>
  <c r="K189" i="3" s="1"/>
  <c r="J190" i="3"/>
  <c r="K190" i="3" s="1"/>
  <c r="J191" i="3"/>
  <c r="K191" i="3" s="1"/>
  <c r="J192" i="3"/>
  <c r="K192" i="3" s="1"/>
  <c r="J193" i="3"/>
  <c r="K193" i="3" s="1"/>
  <c r="J194" i="3"/>
  <c r="K194" i="3" s="1"/>
  <c r="J195" i="3"/>
  <c r="K195" i="3" s="1"/>
  <c r="J196" i="3"/>
  <c r="K196" i="3" s="1"/>
  <c r="J198" i="3"/>
  <c r="K198" i="3" s="1"/>
  <c r="J199" i="3"/>
  <c r="K199" i="3" s="1"/>
  <c r="J200" i="3"/>
  <c r="K200" i="3" s="1"/>
  <c r="J201" i="3"/>
  <c r="K201" i="3" s="1"/>
  <c r="J202" i="3"/>
  <c r="K202" i="3" s="1"/>
  <c r="J203" i="3"/>
  <c r="K203" i="3" s="1"/>
  <c r="J204" i="3"/>
  <c r="K204" i="3" s="1"/>
  <c r="J205" i="3"/>
  <c r="K205" i="3" s="1"/>
  <c r="J206" i="3"/>
  <c r="K206" i="3" s="1"/>
  <c r="J207" i="3"/>
  <c r="K207" i="3" s="1"/>
  <c r="J208" i="3"/>
  <c r="K208" i="3" s="1"/>
  <c r="J209" i="3"/>
  <c r="K209" i="3" s="1"/>
  <c r="J211" i="3"/>
  <c r="K211" i="3" s="1"/>
  <c r="J212" i="3"/>
  <c r="K212" i="3" s="1"/>
  <c r="J213" i="3"/>
  <c r="K213" i="3" s="1"/>
  <c r="J214" i="3"/>
  <c r="K214" i="3" s="1"/>
  <c r="J215" i="3"/>
  <c r="K215" i="3" s="1"/>
  <c r="J216" i="3"/>
  <c r="K216" i="3" s="1"/>
  <c r="J217" i="3"/>
  <c r="K217" i="3" s="1"/>
  <c r="J218" i="3"/>
  <c r="K218" i="3" s="1"/>
  <c r="J219" i="3"/>
  <c r="K219" i="3" s="1"/>
  <c r="J220" i="3"/>
  <c r="K220" i="3" s="1"/>
  <c r="J221" i="3"/>
  <c r="K221" i="3" s="1"/>
  <c r="J222" i="3"/>
  <c r="K222" i="3" s="1"/>
  <c r="J224" i="3"/>
  <c r="K224" i="3" s="1"/>
  <c r="J225" i="3"/>
  <c r="K225" i="3" s="1"/>
  <c r="J226" i="3"/>
  <c r="K226" i="3" s="1"/>
  <c r="J227" i="3"/>
  <c r="K227" i="3" s="1"/>
  <c r="J228" i="3"/>
  <c r="K228" i="3" s="1"/>
  <c r="J229" i="3"/>
  <c r="K229" i="3" s="1"/>
  <c r="J230" i="3"/>
  <c r="K230" i="3" s="1"/>
  <c r="J231" i="3"/>
  <c r="K231" i="3" s="1"/>
  <c r="J232" i="3"/>
  <c r="K232" i="3" s="1"/>
  <c r="J233" i="3"/>
  <c r="K233" i="3" s="1"/>
  <c r="J234" i="3"/>
  <c r="K234" i="3" s="1"/>
  <c r="J235" i="3"/>
  <c r="K235" i="3" s="1"/>
  <c r="J237" i="3"/>
  <c r="K237" i="3" s="1"/>
  <c r="J238" i="3"/>
  <c r="K238" i="3" s="1"/>
  <c r="J239" i="3"/>
  <c r="K239" i="3" s="1"/>
  <c r="J240" i="3"/>
  <c r="K240" i="3" s="1"/>
  <c r="J241" i="3"/>
  <c r="K241" i="3" s="1"/>
  <c r="J242" i="3"/>
  <c r="K242" i="3" s="1"/>
  <c r="J243" i="3"/>
  <c r="K243" i="3" s="1"/>
  <c r="J244" i="3"/>
  <c r="K244" i="3" s="1"/>
  <c r="J245" i="3"/>
  <c r="K245" i="3" s="1"/>
  <c r="J246" i="3"/>
  <c r="K246" i="3" s="1"/>
  <c r="J247" i="3"/>
  <c r="K247" i="3" s="1"/>
  <c r="J248" i="3"/>
  <c r="K248" i="3" s="1"/>
  <c r="J250" i="3"/>
  <c r="K250" i="3" s="1"/>
  <c r="J251" i="3"/>
  <c r="K251" i="3" s="1"/>
  <c r="J252" i="3"/>
  <c r="K252" i="3" s="1"/>
  <c r="J253" i="3"/>
  <c r="K253" i="3" s="1"/>
  <c r="J254" i="3"/>
  <c r="K254" i="3" s="1"/>
  <c r="J255" i="3"/>
  <c r="K255" i="3" s="1"/>
  <c r="J256" i="3"/>
  <c r="K256" i="3" s="1"/>
  <c r="J257" i="3"/>
  <c r="K257" i="3" s="1"/>
  <c r="J258" i="3"/>
  <c r="K258" i="3" s="1"/>
  <c r="J259" i="3"/>
  <c r="K259" i="3" s="1"/>
  <c r="J260" i="3"/>
  <c r="K260" i="3" s="1"/>
  <c r="J261" i="3"/>
  <c r="K261" i="3" s="1"/>
  <c r="J263" i="3"/>
  <c r="K263" i="3" s="1"/>
  <c r="J264" i="3"/>
  <c r="K264" i="3" s="1"/>
  <c r="J265" i="3"/>
  <c r="K265" i="3" s="1"/>
  <c r="J266" i="3"/>
  <c r="K266" i="3" s="1"/>
  <c r="J267" i="3"/>
  <c r="K267" i="3" s="1"/>
  <c r="J268" i="3"/>
  <c r="K268" i="3" s="1"/>
  <c r="J269" i="3"/>
  <c r="K269" i="3" s="1"/>
  <c r="J270" i="3"/>
  <c r="K270" i="3" s="1"/>
  <c r="J271" i="3"/>
  <c r="K271" i="3" s="1"/>
  <c r="J272" i="3"/>
  <c r="K272" i="3" s="1"/>
  <c r="J273" i="3"/>
  <c r="K273" i="3" s="1"/>
  <c r="J274" i="3"/>
  <c r="K274" i="3" s="1"/>
  <c r="J276" i="3"/>
  <c r="K276" i="3" s="1"/>
  <c r="J277" i="3"/>
  <c r="K277" i="3" s="1"/>
  <c r="J278" i="3"/>
  <c r="K278" i="3" s="1"/>
  <c r="J279" i="3"/>
  <c r="K279" i="3" s="1"/>
  <c r="J280" i="3"/>
  <c r="K280" i="3" s="1"/>
  <c r="J281" i="3"/>
  <c r="K281" i="3" s="1"/>
  <c r="J282" i="3"/>
  <c r="K282" i="3" s="1"/>
  <c r="J283" i="3"/>
  <c r="K283" i="3" s="1"/>
  <c r="J284" i="3"/>
  <c r="K284" i="3" s="1"/>
  <c r="J285" i="3"/>
  <c r="K285" i="3" s="1"/>
  <c r="J286" i="3"/>
  <c r="K286" i="3" s="1"/>
  <c r="J287" i="3"/>
  <c r="K287" i="3" s="1"/>
  <c r="J289" i="3"/>
  <c r="K289" i="3" s="1"/>
  <c r="K301" i="3" s="1"/>
  <c r="J290" i="3"/>
  <c r="K290" i="3" s="1"/>
  <c r="J291" i="3"/>
  <c r="K291" i="3" s="1"/>
  <c r="J292" i="3"/>
  <c r="K292" i="3" s="1"/>
  <c r="J293" i="3"/>
  <c r="K293" i="3" s="1"/>
  <c r="J294" i="3"/>
  <c r="K294" i="3" s="1"/>
  <c r="J295" i="3"/>
  <c r="K295" i="3" s="1"/>
  <c r="J296" i="3"/>
  <c r="K296" i="3" s="1"/>
  <c r="J297" i="3"/>
  <c r="K297" i="3" s="1"/>
  <c r="J298" i="3"/>
  <c r="K298" i="3" s="1"/>
  <c r="J299" i="3"/>
  <c r="K299" i="3" s="1"/>
  <c r="J300" i="3"/>
  <c r="K300" i="3" s="1"/>
  <c r="J302" i="3"/>
  <c r="K302" i="3" s="1"/>
  <c r="J303" i="3"/>
  <c r="K303" i="3" s="1"/>
  <c r="J304" i="3"/>
  <c r="K304" i="3" s="1"/>
  <c r="J305" i="3"/>
  <c r="K305" i="3" s="1"/>
  <c r="J306" i="3"/>
  <c r="K306" i="3" s="1"/>
  <c r="J307" i="3"/>
  <c r="K307" i="3" s="1"/>
  <c r="J308" i="3"/>
  <c r="K308" i="3" s="1"/>
  <c r="J309" i="3"/>
  <c r="K309" i="3" s="1"/>
  <c r="J310" i="3"/>
  <c r="K310" i="3" s="1"/>
  <c r="J311" i="3"/>
  <c r="K311" i="3" s="1"/>
  <c r="J312" i="3"/>
  <c r="K312" i="3" s="1"/>
  <c r="J313" i="3"/>
  <c r="K313" i="3" s="1"/>
  <c r="J315" i="3"/>
  <c r="K315" i="3" s="1"/>
  <c r="J316" i="3"/>
  <c r="K316" i="3" s="1"/>
  <c r="J317" i="3"/>
  <c r="K317" i="3" s="1"/>
  <c r="J318" i="3"/>
  <c r="K318" i="3" s="1"/>
  <c r="J319" i="3"/>
  <c r="K319" i="3" s="1"/>
  <c r="J320" i="3"/>
  <c r="K320" i="3" s="1"/>
  <c r="J321" i="3"/>
  <c r="K321" i="3" s="1"/>
  <c r="J322" i="3"/>
  <c r="K322" i="3" s="1"/>
  <c r="J323" i="3"/>
  <c r="K323" i="3" s="1"/>
  <c r="J324" i="3"/>
  <c r="K324" i="3" s="1"/>
  <c r="J325" i="3"/>
  <c r="K325" i="3" s="1"/>
  <c r="J326" i="3"/>
  <c r="K326" i="3" s="1"/>
  <c r="J328" i="3"/>
  <c r="K328" i="3" s="1"/>
  <c r="J329" i="3"/>
  <c r="K329" i="3" s="1"/>
  <c r="J330" i="3"/>
  <c r="K330" i="3" s="1"/>
  <c r="J331" i="3"/>
  <c r="K331" i="3" s="1"/>
  <c r="J332" i="3"/>
  <c r="K332" i="3" s="1"/>
  <c r="J333" i="3"/>
  <c r="K333" i="3" s="1"/>
  <c r="J334" i="3"/>
  <c r="K334" i="3" s="1"/>
  <c r="J335" i="3"/>
  <c r="K335" i="3" s="1"/>
  <c r="J336" i="3"/>
  <c r="K336" i="3" s="1"/>
  <c r="J337" i="3"/>
  <c r="K337" i="3" s="1"/>
  <c r="J338" i="3"/>
  <c r="K338" i="3" s="1"/>
  <c r="J339" i="3"/>
  <c r="K339" i="3" s="1"/>
  <c r="J341" i="3"/>
  <c r="K341" i="3" s="1"/>
  <c r="J342" i="3"/>
  <c r="K342" i="3" s="1"/>
  <c r="J343" i="3"/>
  <c r="K343" i="3" s="1"/>
  <c r="J344" i="3"/>
  <c r="K344" i="3" s="1"/>
  <c r="J345" i="3"/>
  <c r="K345" i="3" s="1"/>
  <c r="J346" i="3"/>
  <c r="K346" i="3" s="1"/>
  <c r="J347" i="3"/>
  <c r="K347" i="3" s="1"/>
  <c r="J348" i="3"/>
  <c r="K348" i="3" s="1"/>
  <c r="J349" i="3"/>
  <c r="K349" i="3" s="1"/>
  <c r="J350" i="3"/>
  <c r="K350" i="3" s="1"/>
  <c r="J351" i="3"/>
  <c r="K351" i="3" s="1"/>
  <c r="J352" i="3"/>
  <c r="K352" i="3" s="1"/>
  <c r="J354" i="3"/>
  <c r="K354" i="3" s="1"/>
  <c r="J355" i="3"/>
  <c r="K355" i="3" s="1"/>
  <c r="J356" i="3"/>
  <c r="K356" i="3" s="1"/>
  <c r="J357" i="3"/>
  <c r="K357" i="3" s="1"/>
  <c r="J358" i="3"/>
  <c r="K358" i="3" s="1"/>
  <c r="J359" i="3"/>
  <c r="K359" i="3" s="1"/>
  <c r="J360" i="3"/>
  <c r="K360" i="3" s="1"/>
  <c r="J361" i="3"/>
  <c r="K361" i="3" s="1"/>
  <c r="J362" i="3"/>
  <c r="K362" i="3" s="1"/>
  <c r="J363" i="3"/>
  <c r="K363" i="3" s="1"/>
  <c r="J364" i="3"/>
  <c r="K364" i="3" s="1"/>
  <c r="J365" i="3"/>
  <c r="K365" i="3" s="1"/>
  <c r="J3" i="3"/>
  <c r="K3" i="3" s="1"/>
  <c r="G234" i="3"/>
  <c r="G235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6" i="3"/>
  <c r="G277" i="3"/>
  <c r="G278" i="3"/>
  <c r="G279" i="3"/>
  <c r="H279" i="3" s="1"/>
  <c r="G280" i="3"/>
  <c r="G281" i="3"/>
  <c r="G282" i="3"/>
  <c r="G283" i="3"/>
  <c r="G284" i="3"/>
  <c r="G285" i="3"/>
  <c r="G286" i="3"/>
  <c r="G287" i="3"/>
  <c r="H287" i="3" s="1"/>
  <c r="G289" i="3"/>
  <c r="G290" i="3"/>
  <c r="G291" i="3"/>
  <c r="G292" i="3"/>
  <c r="G293" i="3"/>
  <c r="G294" i="3"/>
  <c r="G295" i="3"/>
  <c r="G296" i="3"/>
  <c r="G297" i="3"/>
  <c r="G298" i="3"/>
  <c r="G299" i="3"/>
  <c r="G300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42" i="3"/>
  <c r="G43" i="3"/>
  <c r="G44" i="3"/>
  <c r="G45" i="3"/>
  <c r="G46" i="3"/>
  <c r="G47" i="3"/>
  <c r="G48" i="3"/>
  <c r="G49" i="3"/>
  <c r="G50" i="3"/>
  <c r="G51" i="3"/>
  <c r="G52" i="3"/>
  <c r="G53" i="3"/>
  <c r="G55" i="3"/>
  <c r="G56" i="3"/>
  <c r="G57" i="3"/>
  <c r="G58" i="3"/>
  <c r="G59" i="3"/>
  <c r="G60" i="3"/>
  <c r="G61" i="3"/>
  <c r="G62" i="3"/>
  <c r="G63" i="3"/>
  <c r="G64" i="3"/>
  <c r="G65" i="3"/>
  <c r="G66" i="3"/>
  <c r="G68" i="3"/>
  <c r="G69" i="3"/>
  <c r="G70" i="3"/>
  <c r="G71" i="3"/>
  <c r="G72" i="3"/>
  <c r="G73" i="3"/>
  <c r="G74" i="3"/>
  <c r="G75" i="3"/>
  <c r="G76" i="3"/>
  <c r="G77" i="3"/>
  <c r="G78" i="3"/>
  <c r="G79" i="3"/>
  <c r="G81" i="3"/>
  <c r="G82" i="3"/>
  <c r="G83" i="3"/>
  <c r="H83" i="3" s="1"/>
  <c r="G84" i="3"/>
  <c r="G85" i="3"/>
  <c r="G86" i="3"/>
  <c r="G87" i="3"/>
  <c r="G88" i="3"/>
  <c r="G89" i="3"/>
  <c r="G90" i="3"/>
  <c r="G91" i="3"/>
  <c r="G92" i="3"/>
  <c r="G94" i="3"/>
  <c r="G95" i="3"/>
  <c r="G96" i="3"/>
  <c r="G97" i="3"/>
  <c r="G98" i="3"/>
  <c r="G99" i="3"/>
  <c r="G100" i="3"/>
  <c r="G101" i="3"/>
  <c r="G102" i="3"/>
  <c r="G103" i="3"/>
  <c r="G104" i="3"/>
  <c r="G105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H144" i="3" s="1"/>
  <c r="G146" i="3"/>
  <c r="G147" i="3"/>
  <c r="G148" i="3"/>
  <c r="G149" i="3"/>
  <c r="G150" i="3"/>
  <c r="G151" i="3"/>
  <c r="G152" i="3"/>
  <c r="G153" i="3"/>
  <c r="G154" i="3"/>
  <c r="G155" i="3"/>
  <c r="G156" i="3"/>
  <c r="G157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8" i="3"/>
  <c r="G199" i="3"/>
  <c r="G200" i="3"/>
  <c r="G201" i="3"/>
  <c r="G202" i="3"/>
  <c r="G203" i="3"/>
  <c r="G204" i="3"/>
  <c r="G205" i="3"/>
  <c r="G206" i="3"/>
  <c r="G207" i="3"/>
  <c r="G208" i="3"/>
  <c r="H208" i="3" s="1"/>
  <c r="G209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4" i="3"/>
  <c r="G225" i="3"/>
  <c r="G226" i="3"/>
  <c r="G227" i="3"/>
  <c r="G228" i="3"/>
  <c r="G229" i="3"/>
  <c r="G230" i="3"/>
  <c r="G231" i="3"/>
  <c r="H231" i="3" s="1"/>
  <c r="G232" i="3"/>
  <c r="G233" i="3"/>
  <c r="G29" i="3"/>
  <c r="G30" i="3"/>
  <c r="G31" i="3"/>
  <c r="G32" i="3"/>
  <c r="G33" i="3"/>
  <c r="G34" i="3"/>
  <c r="G35" i="3"/>
  <c r="G36" i="3"/>
  <c r="G37" i="3"/>
  <c r="G38" i="3"/>
  <c r="G39" i="3"/>
  <c r="G40" i="3"/>
  <c r="G16" i="3"/>
  <c r="G17" i="3"/>
  <c r="G18" i="3"/>
  <c r="G19" i="3"/>
  <c r="G20" i="3"/>
  <c r="G21" i="3"/>
  <c r="G22" i="3"/>
  <c r="G23" i="3"/>
  <c r="G24" i="3"/>
  <c r="G25" i="3"/>
  <c r="G26" i="3"/>
  <c r="G27" i="3"/>
  <c r="G4" i="3"/>
  <c r="G5" i="3"/>
  <c r="G6" i="3"/>
  <c r="G7" i="3"/>
  <c r="G8" i="3"/>
  <c r="G9" i="3"/>
  <c r="G10" i="3"/>
  <c r="G11" i="3"/>
  <c r="G12" i="3"/>
  <c r="G13" i="3"/>
  <c r="G14" i="3"/>
  <c r="G3" i="3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6" i="3"/>
  <c r="F17" i="3"/>
  <c r="F18" i="3"/>
  <c r="F19" i="3"/>
  <c r="H19" i="3" s="1"/>
  <c r="F20" i="3"/>
  <c r="F21" i="3"/>
  <c r="F22" i="3"/>
  <c r="F23" i="3"/>
  <c r="H23" i="3" s="1"/>
  <c r="F24" i="3"/>
  <c r="F25" i="3"/>
  <c r="F26" i="3"/>
  <c r="F27" i="3"/>
  <c r="H27" i="3" s="1"/>
  <c r="F29" i="3"/>
  <c r="F30" i="3"/>
  <c r="F31" i="3"/>
  <c r="F32" i="3"/>
  <c r="H32" i="3" s="1"/>
  <c r="F33" i="3"/>
  <c r="F34" i="3"/>
  <c r="F35" i="3"/>
  <c r="F36" i="3"/>
  <c r="H36" i="3" s="1"/>
  <c r="F37" i="3"/>
  <c r="F38" i="3"/>
  <c r="F39" i="3"/>
  <c r="F40" i="3"/>
  <c r="H40" i="3" s="1"/>
  <c r="F42" i="3"/>
  <c r="F43" i="3"/>
  <c r="F44" i="3"/>
  <c r="F45" i="3"/>
  <c r="F46" i="3"/>
  <c r="F47" i="3"/>
  <c r="F48" i="3"/>
  <c r="F49" i="3"/>
  <c r="F50" i="3"/>
  <c r="F51" i="3"/>
  <c r="F52" i="3"/>
  <c r="F53" i="3"/>
  <c r="F55" i="3"/>
  <c r="F56" i="3"/>
  <c r="F57" i="3"/>
  <c r="F58" i="3"/>
  <c r="F59" i="3"/>
  <c r="F60" i="3"/>
  <c r="F61" i="3"/>
  <c r="F62" i="3"/>
  <c r="F63" i="3"/>
  <c r="F64" i="3"/>
  <c r="F3" i="3"/>
  <c r="O103" i="2"/>
  <c r="O239" i="2"/>
  <c r="O309" i="2"/>
  <c r="N129" i="2"/>
  <c r="N177" i="2"/>
  <c r="N247" i="2"/>
  <c r="N264" i="2"/>
  <c r="N398" i="2"/>
  <c r="K4" i="2"/>
  <c r="K8" i="2"/>
  <c r="K17" i="2"/>
  <c r="K21" i="2"/>
  <c r="K25" i="2"/>
  <c r="K34" i="2"/>
  <c r="N34" i="2" s="1"/>
  <c r="K38" i="2"/>
  <c r="K43" i="2"/>
  <c r="K51" i="2"/>
  <c r="K56" i="2"/>
  <c r="K60" i="2"/>
  <c r="K69" i="2"/>
  <c r="K73" i="2"/>
  <c r="K77" i="2"/>
  <c r="K86" i="2"/>
  <c r="K90" i="2"/>
  <c r="K95" i="2"/>
  <c r="K103" i="2"/>
  <c r="N103" i="2" s="1"/>
  <c r="K108" i="2"/>
  <c r="K112" i="2"/>
  <c r="K121" i="2"/>
  <c r="N121" i="2" s="1"/>
  <c r="K125" i="2"/>
  <c r="K129" i="2"/>
  <c r="K139" i="2"/>
  <c r="N139" i="2" s="1"/>
  <c r="K142" i="2"/>
  <c r="N142" i="2" s="1"/>
  <c r="K151" i="2"/>
  <c r="K152" i="2"/>
  <c r="K160" i="2"/>
  <c r="N160" i="2" s="1"/>
  <c r="K161" i="2"/>
  <c r="K165" i="2"/>
  <c r="N165" i="2" s="1"/>
  <c r="K168" i="2"/>
  <c r="K174" i="2"/>
  <c r="K177" i="2"/>
  <c r="K186" i="2"/>
  <c r="K187" i="2"/>
  <c r="K194" i="2"/>
  <c r="N194" i="2" s="1"/>
  <c r="K195" i="2"/>
  <c r="K200" i="2"/>
  <c r="N200" i="2" s="1"/>
  <c r="K203" i="2"/>
  <c r="K208" i="2"/>
  <c r="N208" i="2" s="1"/>
  <c r="K212" i="2"/>
  <c r="N212" i="2" s="1"/>
  <c r="K220" i="2"/>
  <c r="K221" i="2"/>
  <c r="K229" i="2"/>
  <c r="N229" i="2" s="1"/>
  <c r="K230" i="2"/>
  <c r="K234" i="2"/>
  <c r="N234" i="2" s="1"/>
  <c r="K238" i="2"/>
  <c r="K243" i="2"/>
  <c r="K246" i="2"/>
  <c r="K255" i="2"/>
  <c r="K256" i="2"/>
  <c r="K264" i="2"/>
  <c r="K265" i="2"/>
  <c r="K269" i="2"/>
  <c r="N269" i="2" s="1"/>
  <c r="K272" i="2"/>
  <c r="K278" i="2"/>
  <c r="K281" i="2"/>
  <c r="K290" i="2"/>
  <c r="K291" i="2"/>
  <c r="K298" i="2"/>
  <c r="K299" i="2"/>
  <c r="K304" i="2"/>
  <c r="K307" i="2"/>
  <c r="K312" i="2"/>
  <c r="K316" i="2"/>
  <c r="K324" i="2"/>
  <c r="K325" i="2"/>
  <c r="K333" i="2"/>
  <c r="K334" i="2"/>
  <c r="K338" i="2"/>
  <c r="K342" i="2"/>
  <c r="K347" i="2"/>
  <c r="K350" i="2"/>
  <c r="K359" i="2"/>
  <c r="K360" i="2"/>
  <c r="K368" i="2"/>
  <c r="K369" i="2"/>
  <c r="K373" i="2"/>
  <c r="K376" i="2"/>
  <c r="K382" i="2"/>
  <c r="K385" i="2"/>
  <c r="K395" i="2"/>
  <c r="K399" i="2"/>
  <c r="J4" i="2"/>
  <c r="J5" i="2"/>
  <c r="K5" i="2" s="1"/>
  <c r="J6" i="2"/>
  <c r="K6" i="2" s="1"/>
  <c r="J7" i="2"/>
  <c r="K7" i="2" s="1"/>
  <c r="J8" i="2"/>
  <c r="J9" i="2"/>
  <c r="K9" i="2" s="1"/>
  <c r="J10" i="2"/>
  <c r="K10" i="2" s="1"/>
  <c r="N10" i="2" s="1"/>
  <c r="J11" i="2"/>
  <c r="K11" i="2" s="1"/>
  <c r="J12" i="2"/>
  <c r="K12" i="2" s="1"/>
  <c r="J13" i="2"/>
  <c r="K13" i="2" s="1"/>
  <c r="J14" i="2"/>
  <c r="K14" i="2" s="1"/>
  <c r="J16" i="2"/>
  <c r="K16" i="2" s="1"/>
  <c r="J17" i="2"/>
  <c r="J18" i="2"/>
  <c r="K18" i="2" s="1"/>
  <c r="J19" i="2"/>
  <c r="K19" i="2" s="1"/>
  <c r="J20" i="2"/>
  <c r="K20" i="2" s="1"/>
  <c r="J21" i="2"/>
  <c r="J22" i="2"/>
  <c r="K22" i="2" s="1"/>
  <c r="J23" i="2"/>
  <c r="K23" i="2" s="1"/>
  <c r="J24" i="2"/>
  <c r="K24" i="2" s="1"/>
  <c r="J25" i="2"/>
  <c r="J26" i="2"/>
  <c r="K26" i="2" s="1"/>
  <c r="J27" i="2"/>
  <c r="K27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J35" i="2"/>
  <c r="K35" i="2" s="1"/>
  <c r="J36" i="2"/>
  <c r="K36" i="2" s="1"/>
  <c r="J37" i="2"/>
  <c r="K37" i="2" s="1"/>
  <c r="J38" i="2"/>
  <c r="J39" i="2"/>
  <c r="K39" i="2" s="1"/>
  <c r="J40" i="2"/>
  <c r="K40" i="2" s="1"/>
  <c r="J42" i="2"/>
  <c r="K42" i="2" s="1"/>
  <c r="J43" i="2"/>
  <c r="J44" i="2"/>
  <c r="K44" i="2" s="1"/>
  <c r="J45" i="2"/>
  <c r="K45" i="2" s="1"/>
  <c r="N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J52" i="2"/>
  <c r="K52" i="2" s="1"/>
  <c r="J53" i="2"/>
  <c r="K53" i="2" s="1"/>
  <c r="J55" i="2"/>
  <c r="K55" i="2" s="1"/>
  <c r="J56" i="2"/>
  <c r="J57" i="2"/>
  <c r="K57" i="2" s="1"/>
  <c r="J58" i="2"/>
  <c r="K58" i="2" s="1"/>
  <c r="J59" i="2"/>
  <c r="K59" i="2" s="1"/>
  <c r="J60" i="2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8" i="2"/>
  <c r="K68" i="2" s="1"/>
  <c r="J69" i="2"/>
  <c r="J70" i="2"/>
  <c r="K70" i="2" s="1"/>
  <c r="J71" i="2"/>
  <c r="K71" i="2" s="1"/>
  <c r="J72" i="2"/>
  <c r="K72" i="2" s="1"/>
  <c r="J73" i="2"/>
  <c r="J74" i="2"/>
  <c r="K74" i="2" s="1"/>
  <c r="J75" i="2"/>
  <c r="K75" i="2" s="1"/>
  <c r="J76" i="2"/>
  <c r="K76" i="2" s="1"/>
  <c r="J77" i="2"/>
  <c r="J78" i="2"/>
  <c r="K78" i="2" s="1"/>
  <c r="J79" i="2"/>
  <c r="K79" i="2" s="1"/>
  <c r="N79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J87" i="2"/>
  <c r="K87" i="2" s="1"/>
  <c r="J88" i="2"/>
  <c r="K88" i="2" s="1"/>
  <c r="J89" i="2"/>
  <c r="K89" i="2" s="1"/>
  <c r="J90" i="2"/>
  <c r="J91" i="2"/>
  <c r="K91" i="2" s="1"/>
  <c r="J92" i="2"/>
  <c r="K92" i="2" s="1"/>
  <c r="J94" i="2"/>
  <c r="K94" i="2" s="1"/>
  <c r="J95" i="2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J104" i="2"/>
  <c r="K104" i="2" s="1"/>
  <c r="J105" i="2"/>
  <c r="K105" i="2" s="1"/>
  <c r="J107" i="2"/>
  <c r="K107" i="2" s="1"/>
  <c r="J108" i="2"/>
  <c r="J109" i="2"/>
  <c r="K109" i="2" s="1"/>
  <c r="J110" i="2"/>
  <c r="K110" i="2" s="1"/>
  <c r="J111" i="2"/>
  <c r="K111" i="2" s="1"/>
  <c r="J112" i="2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20" i="2"/>
  <c r="K120" i="2" s="1"/>
  <c r="J121" i="2"/>
  <c r="J122" i="2"/>
  <c r="K122" i="2" s="1"/>
  <c r="J123" i="2"/>
  <c r="K123" i="2" s="1"/>
  <c r="J124" i="2"/>
  <c r="K124" i="2" s="1"/>
  <c r="J125" i="2"/>
  <c r="J126" i="2"/>
  <c r="K126" i="2" s="1"/>
  <c r="J127" i="2"/>
  <c r="K127" i="2" s="1"/>
  <c r="J128" i="2"/>
  <c r="K128" i="2" s="1"/>
  <c r="J129" i="2"/>
  <c r="J130" i="2"/>
  <c r="K130" i="2" s="1"/>
  <c r="J131" i="2"/>
  <c r="K131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J140" i="2"/>
  <c r="K140" i="2" s="1"/>
  <c r="J141" i="2"/>
  <c r="K141" i="2" s="1"/>
  <c r="J142" i="2"/>
  <c r="J143" i="2"/>
  <c r="K143" i="2" s="1"/>
  <c r="J144" i="2"/>
  <c r="K144" i="2" s="1"/>
  <c r="J146" i="2"/>
  <c r="K146" i="2" s="1"/>
  <c r="J147" i="2"/>
  <c r="K147" i="2" s="1"/>
  <c r="J148" i="2"/>
  <c r="K148" i="2" s="1"/>
  <c r="N148" i="2" s="1"/>
  <c r="J149" i="2"/>
  <c r="K149" i="2" s="1"/>
  <c r="J150" i="2"/>
  <c r="K150" i="2" s="1"/>
  <c r="J151" i="2"/>
  <c r="J152" i="2"/>
  <c r="J153" i="2"/>
  <c r="K153" i="2" s="1"/>
  <c r="J154" i="2"/>
  <c r="K154" i="2" s="1"/>
  <c r="J155" i="2"/>
  <c r="K155" i="2" s="1"/>
  <c r="J156" i="2"/>
  <c r="K156" i="2" s="1"/>
  <c r="N156" i="2" s="1"/>
  <c r="J157" i="2"/>
  <c r="K157" i="2" s="1"/>
  <c r="J159" i="2"/>
  <c r="K159" i="2" s="1"/>
  <c r="J160" i="2"/>
  <c r="J161" i="2"/>
  <c r="J162" i="2"/>
  <c r="K162" i="2" s="1"/>
  <c r="J163" i="2"/>
  <c r="K163" i="2" s="1"/>
  <c r="J164" i="2"/>
  <c r="K164" i="2" s="1"/>
  <c r="J165" i="2"/>
  <c r="J166" i="2"/>
  <c r="K166" i="2" s="1"/>
  <c r="J167" i="2"/>
  <c r="K167" i="2" s="1"/>
  <c r="J168" i="2"/>
  <c r="J169" i="2"/>
  <c r="K169" i="2" s="1"/>
  <c r="J170" i="2"/>
  <c r="K170" i="2" s="1"/>
  <c r="J172" i="2"/>
  <c r="K172" i="2" s="1"/>
  <c r="J173" i="2"/>
  <c r="K173" i="2" s="1"/>
  <c r="J174" i="2"/>
  <c r="J175" i="2"/>
  <c r="K175" i="2" s="1"/>
  <c r="J176" i="2"/>
  <c r="K176" i="2" s="1"/>
  <c r="J177" i="2"/>
  <c r="J178" i="2"/>
  <c r="K178" i="2" s="1"/>
  <c r="J179" i="2"/>
  <c r="K179" i="2" s="1"/>
  <c r="J180" i="2"/>
  <c r="K180" i="2" s="1"/>
  <c r="J181" i="2"/>
  <c r="K181" i="2" s="1"/>
  <c r="J182" i="2"/>
  <c r="K182" i="2" s="1"/>
  <c r="N182" i="2" s="1"/>
  <c r="J183" i="2"/>
  <c r="K183" i="2" s="1"/>
  <c r="J185" i="2"/>
  <c r="K185" i="2" s="1"/>
  <c r="J186" i="2"/>
  <c r="J187" i="2"/>
  <c r="J188" i="2"/>
  <c r="K188" i="2" s="1"/>
  <c r="J189" i="2"/>
  <c r="K189" i="2" s="1"/>
  <c r="J190" i="2"/>
  <c r="K190" i="2" s="1"/>
  <c r="J191" i="2"/>
  <c r="K191" i="2" s="1"/>
  <c r="N191" i="2" s="1"/>
  <c r="J192" i="2"/>
  <c r="K192" i="2" s="1"/>
  <c r="J193" i="2"/>
  <c r="K193" i="2" s="1"/>
  <c r="J194" i="2"/>
  <c r="J195" i="2"/>
  <c r="J196" i="2"/>
  <c r="K196" i="2" s="1"/>
  <c r="J198" i="2"/>
  <c r="K198" i="2" s="1"/>
  <c r="J199" i="2"/>
  <c r="K199" i="2" s="1"/>
  <c r="J200" i="2"/>
  <c r="J201" i="2"/>
  <c r="K201" i="2" s="1"/>
  <c r="J202" i="2"/>
  <c r="K202" i="2" s="1"/>
  <c r="J203" i="2"/>
  <c r="J204" i="2"/>
  <c r="K204" i="2" s="1"/>
  <c r="J205" i="2"/>
  <c r="K205" i="2" s="1"/>
  <c r="J206" i="2"/>
  <c r="K206" i="2" s="1"/>
  <c r="J207" i="2"/>
  <c r="K207" i="2" s="1"/>
  <c r="J208" i="2"/>
  <c r="J209" i="2"/>
  <c r="K209" i="2" s="1"/>
  <c r="J211" i="2"/>
  <c r="K211" i="2" s="1"/>
  <c r="J212" i="2"/>
  <c r="J213" i="2"/>
  <c r="K213" i="2" s="1"/>
  <c r="J214" i="2"/>
  <c r="K214" i="2" s="1"/>
  <c r="J215" i="2"/>
  <c r="K215" i="2" s="1"/>
  <c r="J216" i="2"/>
  <c r="K216" i="2" s="1"/>
  <c r="J217" i="2"/>
  <c r="K217" i="2" s="1"/>
  <c r="N217" i="2" s="1"/>
  <c r="J218" i="2"/>
  <c r="K218" i="2" s="1"/>
  <c r="J219" i="2"/>
  <c r="K219" i="2" s="1"/>
  <c r="J220" i="2"/>
  <c r="J221" i="2"/>
  <c r="J222" i="2"/>
  <c r="K222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J230" i="2"/>
  <c r="J231" i="2"/>
  <c r="K231" i="2" s="1"/>
  <c r="J232" i="2"/>
  <c r="K232" i="2" s="1"/>
  <c r="J233" i="2"/>
  <c r="K233" i="2" s="1"/>
  <c r="J234" i="2"/>
  <c r="J235" i="2"/>
  <c r="K235" i="2" s="1"/>
  <c r="N235" i="2" s="1"/>
  <c r="J237" i="2"/>
  <c r="K237" i="2" s="1"/>
  <c r="J238" i="2"/>
  <c r="J239" i="2"/>
  <c r="K239" i="2" s="1"/>
  <c r="N239" i="2" s="1"/>
  <c r="J240" i="2"/>
  <c r="K240" i="2" s="1"/>
  <c r="N240" i="2" s="1"/>
  <c r="J241" i="2"/>
  <c r="K241" i="2" s="1"/>
  <c r="J242" i="2"/>
  <c r="K242" i="2" s="1"/>
  <c r="J243" i="2"/>
  <c r="J244" i="2"/>
  <c r="K244" i="2" s="1"/>
  <c r="J245" i="2"/>
  <c r="K245" i="2" s="1"/>
  <c r="J246" i="2"/>
  <c r="J247" i="2"/>
  <c r="K247" i="2" s="1"/>
  <c r="J248" i="2"/>
  <c r="K248" i="2" s="1"/>
  <c r="J250" i="2"/>
  <c r="K250" i="2" s="1"/>
  <c r="J251" i="2"/>
  <c r="K251" i="2" s="1"/>
  <c r="J252" i="2"/>
  <c r="K252" i="2" s="1"/>
  <c r="N252" i="2" s="1"/>
  <c r="J253" i="2"/>
  <c r="K253" i="2" s="1"/>
  <c r="J254" i="2"/>
  <c r="K254" i="2" s="1"/>
  <c r="J255" i="2"/>
  <c r="J256" i="2"/>
  <c r="J257" i="2"/>
  <c r="K257" i="2" s="1"/>
  <c r="J258" i="2"/>
  <c r="K258" i="2" s="1"/>
  <c r="J259" i="2"/>
  <c r="K259" i="2" s="1"/>
  <c r="N259" i="2" s="1"/>
  <c r="J260" i="2"/>
  <c r="K260" i="2" s="1"/>
  <c r="J261" i="2"/>
  <c r="K261" i="2" s="1"/>
  <c r="J263" i="2"/>
  <c r="K263" i="2" s="1"/>
  <c r="J264" i="2"/>
  <c r="J265" i="2"/>
  <c r="J266" i="2"/>
  <c r="K266" i="2" s="1"/>
  <c r="J267" i="2"/>
  <c r="K267" i="2" s="1"/>
  <c r="J268" i="2"/>
  <c r="K268" i="2" s="1"/>
  <c r="J269" i="2"/>
  <c r="J270" i="2"/>
  <c r="K270" i="2" s="1"/>
  <c r="N270" i="2" s="1"/>
  <c r="J271" i="2"/>
  <c r="K271" i="2" s="1"/>
  <c r="J272" i="2"/>
  <c r="J273" i="2"/>
  <c r="K273" i="2" s="1"/>
  <c r="J274" i="2"/>
  <c r="K274" i="2" s="1"/>
  <c r="N274" i="2" s="1"/>
  <c r="O274" i="2" s="1"/>
  <c r="J276" i="2"/>
  <c r="K276" i="2" s="1"/>
  <c r="J277" i="2"/>
  <c r="K277" i="2" s="1"/>
  <c r="J278" i="2"/>
  <c r="J279" i="2"/>
  <c r="K279" i="2" s="1"/>
  <c r="J280" i="2"/>
  <c r="K280" i="2" s="1"/>
  <c r="J281" i="2"/>
  <c r="J282" i="2"/>
  <c r="K282" i="2" s="1"/>
  <c r="J283" i="2"/>
  <c r="K283" i="2" s="1"/>
  <c r="J284" i="2"/>
  <c r="K284" i="2" s="1"/>
  <c r="J285" i="2"/>
  <c r="K285" i="2" s="1"/>
  <c r="J286" i="2"/>
  <c r="K286" i="2" s="1"/>
  <c r="N286" i="2" s="1"/>
  <c r="J287" i="2"/>
  <c r="K287" i="2" s="1"/>
  <c r="J289" i="2"/>
  <c r="K289" i="2" s="1"/>
  <c r="J290" i="2"/>
  <c r="J291" i="2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J299" i="2"/>
  <c r="J300" i="2"/>
  <c r="K300" i="2" s="1"/>
  <c r="J302" i="2"/>
  <c r="K302" i="2" s="1"/>
  <c r="J303" i="2"/>
  <c r="K303" i="2" s="1"/>
  <c r="N303" i="2" s="1"/>
  <c r="J304" i="2"/>
  <c r="J305" i="2"/>
  <c r="K305" i="2" s="1"/>
  <c r="J306" i="2"/>
  <c r="K306" i="2" s="1"/>
  <c r="N306" i="2" s="1"/>
  <c r="J307" i="2"/>
  <c r="J308" i="2"/>
  <c r="K308" i="2" s="1"/>
  <c r="J309" i="2"/>
  <c r="K309" i="2" s="1"/>
  <c r="N309" i="2" s="1"/>
  <c r="J310" i="2"/>
  <c r="K310" i="2" s="1"/>
  <c r="J311" i="2"/>
  <c r="K311" i="2" s="1"/>
  <c r="J312" i="2"/>
  <c r="J313" i="2"/>
  <c r="K313" i="2" s="1"/>
  <c r="J315" i="2"/>
  <c r="K315" i="2" s="1"/>
  <c r="J316" i="2"/>
  <c r="J317" i="2"/>
  <c r="K317" i="2" s="1"/>
  <c r="J318" i="2"/>
  <c r="K318" i="2" s="1"/>
  <c r="J319" i="2"/>
  <c r="K319" i="2" s="1"/>
  <c r="J320" i="2"/>
  <c r="K320" i="2" s="1"/>
  <c r="N320" i="2" s="1"/>
  <c r="J321" i="2"/>
  <c r="K321" i="2" s="1"/>
  <c r="J322" i="2"/>
  <c r="K322" i="2" s="1"/>
  <c r="J323" i="2"/>
  <c r="K323" i="2" s="1"/>
  <c r="N323" i="2" s="1"/>
  <c r="J324" i="2"/>
  <c r="J325" i="2"/>
  <c r="J326" i="2"/>
  <c r="K326" i="2" s="1"/>
  <c r="N326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J334" i="2"/>
  <c r="J335" i="2"/>
  <c r="K335" i="2" s="1"/>
  <c r="J336" i="2"/>
  <c r="K336" i="2" s="1"/>
  <c r="J337" i="2"/>
  <c r="K337" i="2" s="1"/>
  <c r="N337" i="2" s="1"/>
  <c r="J338" i="2"/>
  <c r="J339" i="2"/>
  <c r="K339" i="2" s="1"/>
  <c r="J341" i="2"/>
  <c r="K341" i="2" s="1"/>
  <c r="N341" i="2" s="1"/>
  <c r="J342" i="2"/>
  <c r="J343" i="2"/>
  <c r="K343" i="2" s="1"/>
  <c r="J344" i="2"/>
  <c r="K344" i="2" s="1"/>
  <c r="J345" i="2"/>
  <c r="K345" i="2" s="1"/>
  <c r="J346" i="2"/>
  <c r="K346" i="2" s="1"/>
  <c r="J347" i="2"/>
  <c r="J348" i="2"/>
  <c r="K348" i="2" s="1"/>
  <c r="J349" i="2"/>
  <c r="K349" i="2" s="1"/>
  <c r="J350" i="2"/>
  <c r="J351" i="2"/>
  <c r="K351" i="2" s="1"/>
  <c r="J352" i="2"/>
  <c r="K352" i="2" s="1"/>
  <c r="J354" i="2"/>
  <c r="K354" i="2" s="1"/>
  <c r="J355" i="2"/>
  <c r="K355" i="2" s="1"/>
  <c r="N355" i="2" s="1"/>
  <c r="J356" i="2"/>
  <c r="K356" i="2" s="1"/>
  <c r="J357" i="2"/>
  <c r="K357" i="2" s="1"/>
  <c r="J358" i="2"/>
  <c r="K358" i="2" s="1"/>
  <c r="N358" i="2" s="1"/>
  <c r="J359" i="2"/>
  <c r="J360" i="2"/>
  <c r="J361" i="2"/>
  <c r="K361" i="2" s="1"/>
  <c r="N361" i="2" s="1"/>
  <c r="J362" i="2"/>
  <c r="K362" i="2" s="1"/>
  <c r="J363" i="2"/>
  <c r="K363" i="2" s="1"/>
  <c r="J364" i="2"/>
  <c r="K364" i="2" s="1"/>
  <c r="J365" i="2"/>
  <c r="K365" i="2" s="1"/>
  <c r="J367" i="2"/>
  <c r="K367" i="2" s="1"/>
  <c r="J368" i="2"/>
  <c r="J369" i="2"/>
  <c r="J370" i="2"/>
  <c r="K370" i="2" s="1"/>
  <c r="J371" i="2"/>
  <c r="K371" i="2" s="1"/>
  <c r="J372" i="2"/>
  <c r="K372" i="2" s="1"/>
  <c r="N372" i="2" s="1"/>
  <c r="J373" i="2"/>
  <c r="J374" i="2"/>
  <c r="K374" i="2" s="1"/>
  <c r="J375" i="2"/>
  <c r="K375" i="2" s="1"/>
  <c r="N375" i="2" s="1"/>
  <c r="J376" i="2"/>
  <c r="J377" i="2"/>
  <c r="K377" i="2" s="1"/>
  <c r="J378" i="2"/>
  <c r="K378" i="2" s="1"/>
  <c r="J380" i="2"/>
  <c r="K380" i="2" s="1"/>
  <c r="J381" i="2"/>
  <c r="K381" i="2" s="1"/>
  <c r="J382" i="2"/>
  <c r="J383" i="2"/>
  <c r="K383" i="2" s="1"/>
  <c r="J384" i="2"/>
  <c r="K384" i="2" s="1"/>
  <c r="J385" i="2"/>
  <c r="J386" i="2"/>
  <c r="K386" i="2" s="1"/>
  <c r="J387" i="2"/>
  <c r="K387" i="2" s="1"/>
  <c r="J388" i="2"/>
  <c r="K388" i="2" s="1"/>
  <c r="J389" i="2"/>
  <c r="K389" i="2" s="1"/>
  <c r="N389" i="2" s="1"/>
  <c r="J390" i="2"/>
  <c r="K390" i="2" s="1"/>
  <c r="J391" i="2"/>
  <c r="K391" i="2" s="1"/>
  <c r="J393" i="2"/>
  <c r="K393" i="2" s="1"/>
  <c r="N393" i="2" s="1"/>
  <c r="J394" i="2"/>
  <c r="K394" i="2" s="1"/>
  <c r="J395" i="2"/>
  <c r="J396" i="2"/>
  <c r="K396" i="2" s="1"/>
  <c r="N396" i="2" s="1"/>
  <c r="J397" i="2"/>
  <c r="K397" i="2" s="1"/>
  <c r="J398" i="2"/>
  <c r="K398" i="2" s="1"/>
  <c r="J399" i="2"/>
  <c r="J400" i="2"/>
  <c r="K400" i="2" s="1"/>
  <c r="J401" i="2"/>
  <c r="K401" i="2" s="1"/>
  <c r="J402" i="2"/>
  <c r="K402" i="2" s="1"/>
  <c r="J403" i="2"/>
  <c r="K403" i="2" s="1"/>
  <c r="J404" i="2"/>
  <c r="K404" i="2" s="1"/>
  <c r="J3" i="2"/>
  <c r="K3" i="2" s="1"/>
  <c r="H14" i="2"/>
  <c r="H31" i="2"/>
  <c r="H34" i="2"/>
  <c r="H43" i="2"/>
  <c r="H47" i="2"/>
  <c r="H48" i="2"/>
  <c r="H60" i="2"/>
  <c r="H65" i="2"/>
  <c r="H83" i="2"/>
  <c r="H86" i="2"/>
  <c r="H103" i="2"/>
  <c r="H109" i="2"/>
  <c r="H121" i="2"/>
  <c r="H126" i="2"/>
  <c r="H135" i="2"/>
  <c r="H156" i="2"/>
  <c r="H174" i="2"/>
  <c r="H179" i="2"/>
  <c r="H226" i="2"/>
  <c r="H243" i="2"/>
  <c r="H274" i="2"/>
  <c r="H295" i="2"/>
  <c r="H312" i="2"/>
  <c r="H318" i="2"/>
  <c r="H364" i="2"/>
  <c r="H382" i="2"/>
  <c r="G29" i="2"/>
  <c r="G30" i="2"/>
  <c r="G31" i="2"/>
  <c r="G32" i="2"/>
  <c r="G33" i="2"/>
  <c r="G34" i="2"/>
  <c r="G35" i="2"/>
  <c r="G36" i="2"/>
  <c r="G37" i="2"/>
  <c r="G38" i="2"/>
  <c r="H38" i="2" s="1"/>
  <c r="G39" i="2"/>
  <c r="G40" i="2"/>
  <c r="G42" i="2"/>
  <c r="G43" i="2"/>
  <c r="G44" i="2"/>
  <c r="G45" i="2"/>
  <c r="G46" i="2"/>
  <c r="G47" i="2"/>
  <c r="G48" i="2"/>
  <c r="G49" i="2"/>
  <c r="G50" i="2"/>
  <c r="G51" i="2"/>
  <c r="G52" i="2"/>
  <c r="G53" i="2"/>
  <c r="G55" i="2"/>
  <c r="G56" i="2"/>
  <c r="H56" i="2" s="1"/>
  <c r="G57" i="2"/>
  <c r="G58" i="2"/>
  <c r="G59" i="2"/>
  <c r="G60" i="2"/>
  <c r="G61" i="2"/>
  <c r="G62" i="2"/>
  <c r="G63" i="2"/>
  <c r="G64" i="2"/>
  <c r="G65" i="2"/>
  <c r="G66" i="2"/>
  <c r="G68" i="2"/>
  <c r="G69" i="2"/>
  <c r="H69" i="2" s="1"/>
  <c r="G70" i="2"/>
  <c r="G71" i="2"/>
  <c r="G72" i="2"/>
  <c r="G73" i="2"/>
  <c r="H73" i="2" s="1"/>
  <c r="G74" i="2"/>
  <c r="G75" i="2"/>
  <c r="G76" i="2"/>
  <c r="G77" i="2"/>
  <c r="G78" i="2"/>
  <c r="G79" i="2"/>
  <c r="G81" i="2"/>
  <c r="G82" i="2"/>
  <c r="H82" i="2" s="1"/>
  <c r="G83" i="2"/>
  <c r="G84" i="2"/>
  <c r="G85" i="2"/>
  <c r="G86" i="2"/>
  <c r="G87" i="2"/>
  <c r="G88" i="2"/>
  <c r="G89" i="2"/>
  <c r="G90" i="2"/>
  <c r="H90" i="2" s="1"/>
  <c r="G91" i="2"/>
  <c r="G92" i="2"/>
  <c r="G94" i="2"/>
  <c r="G95" i="2"/>
  <c r="G96" i="2"/>
  <c r="G97" i="2"/>
  <c r="G98" i="2"/>
  <c r="G99" i="2"/>
  <c r="H99" i="2" s="1"/>
  <c r="G100" i="2"/>
  <c r="G101" i="2"/>
  <c r="G102" i="2"/>
  <c r="G103" i="2"/>
  <c r="G104" i="2"/>
  <c r="G105" i="2"/>
  <c r="G107" i="2"/>
  <c r="G108" i="2"/>
  <c r="H108" i="2" s="1"/>
  <c r="G109" i="2"/>
  <c r="G110" i="2"/>
  <c r="G111" i="2"/>
  <c r="G112" i="2"/>
  <c r="G113" i="2"/>
  <c r="G114" i="2"/>
  <c r="G115" i="2"/>
  <c r="G116" i="2"/>
  <c r="H116" i="2" s="1"/>
  <c r="G117" i="2"/>
  <c r="G118" i="2"/>
  <c r="G120" i="2"/>
  <c r="G121" i="2"/>
  <c r="G122" i="2"/>
  <c r="G123" i="2"/>
  <c r="G124" i="2"/>
  <c r="G125" i="2"/>
  <c r="H125" i="2" s="1"/>
  <c r="G126" i="2"/>
  <c r="G127" i="2"/>
  <c r="G128" i="2"/>
  <c r="G129" i="2"/>
  <c r="G130" i="2"/>
  <c r="G131" i="2"/>
  <c r="G133" i="2"/>
  <c r="G134" i="2"/>
  <c r="H134" i="2" s="1"/>
  <c r="G135" i="2"/>
  <c r="G136" i="2"/>
  <c r="G137" i="2"/>
  <c r="G138" i="2"/>
  <c r="G139" i="2"/>
  <c r="G140" i="2"/>
  <c r="G141" i="2"/>
  <c r="G142" i="2"/>
  <c r="G143" i="2"/>
  <c r="G144" i="2"/>
  <c r="G146" i="2"/>
  <c r="G147" i="2"/>
  <c r="G148" i="2"/>
  <c r="G149" i="2"/>
  <c r="G150" i="2"/>
  <c r="G151" i="2"/>
  <c r="G152" i="2"/>
  <c r="G153" i="2"/>
  <c r="H153" i="2" s="1"/>
  <c r="G154" i="2"/>
  <c r="G155" i="2"/>
  <c r="G156" i="2"/>
  <c r="G157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H196" i="2" s="1"/>
  <c r="G198" i="2"/>
  <c r="G199" i="2"/>
  <c r="G200" i="2"/>
  <c r="G201" i="2"/>
  <c r="G202" i="2"/>
  <c r="G203" i="2"/>
  <c r="G204" i="2"/>
  <c r="G205" i="2"/>
  <c r="H205" i="2" s="1"/>
  <c r="G206" i="2"/>
  <c r="G207" i="2"/>
  <c r="G208" i="2"/>
  <c r="G209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H222" i="2" s="1"/>
  <c r="G224" i="2"/>
  <c r="G225" i="2"/>
  <c r="G226" i="2"/>
  <c r="G227" i="2"/>
  <c r="G228" i="2"/>
  <c r="G229" i="2"/>
  <c r="G230" i="2"/>
  <c r="G231" i="2"/>
  <c r="G232" i="2"/>
  <c r="G233" i="2"/>
  <c r="G234" i="2"/>
  <c r="G235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H248" i="2" s="1"/>
  <c r="G250" i="2"/>
  <c r="G251" i="2"/>
  <c r="G252" i="2"/>
  <c r="G253" i="2"/>
  <c r="G254" i="2"/>
  <c r="G255" i="2"/>
  <c r="G256" i="2"/>
  <c r="G257" i="2"/>
  <c r="G258" i="2"/>
  <c r="G259" i="2"/>
  <c r="G260" i="2"/>
  <c r="G261" i="2"/>
  <c r="G263" i="2"/>
  <c r="G264" i="2"/>
  <c r="G265" i="2"/>
  <c r="G266" i="2"/>
  <c r="H266" i="2" s="1"/>
  <c r="G267" i="2"/>
  <c r="G268" i="2"/>
  <c r="G269" i="2"/>
  <c r="G270" i="2"/>
  <c r="G271" i="2"/>
  <c r="G272" i="2"/>
  <c r="G273" i="2"/>
  <c r="G274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9" i="2"/>
  <c r="G290" i="2"/>
  <c r="G291" i="2"/>
  <c r="G292" i="2"/>
  <c r="H292" i="2" s="1"/>
  <c r="G293" i="2"/>
  <c r="G294" i="2"/>
  <c r="G295" i="2"/>
  <c r="G296" i="2"/>
  <c r="G297" i="2"/>
  <c r="G298" i="2"/>
  <c r="G299" i="2"/>
  <c r="G300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8" i="2"/>
  <c r="G329" i="2"/>
  <c r="G330" i="2"/>
  <c r="G331" i="2"/>
  <c r="G332" i="2"/>
  <c r="G333" i="2"/>
  <c r="G334" i="2"/>
  <c r="G335" i="2"/>
  <c r="H335" i="2" s="1"/>
  <c r="G336" i="2"/>
  <c r="G337" i="2"/>
  <c r="G338" i="2"/>
  <c r="G339" i="2"/>
  <c r="G341" i="2"/>
  <c r="G342" i="2"/>
  <c r="G343" i="2"/>
  <c r="G344" i="2"/>
  <c r="H344" i="2" s="1"/>
  <c r="G345" i="2"/>
  <c r="G346" i="2"/>
  <c r="G347" i="2"/>
  <c r="G348" i="2"/>
  <c r="G349" i="2"/>
  <c r="G350" i="2"/>
  <c r="G351" i="2"/>
  <c r="G352" i="2"/>
  <c r="G354" i="2"/>
  <c r="G355" i="2"/>
  <c r="G356" i="2"/>
  <c r="G357" i="2"/>
  <c r="G358" i="2"/>
  <c r="G359" i="2"/>
  <c r="G360" i="2"/>
  <c r="G361" i="2"/>
  <c r="H361" i="2" s="1"/>
  <c r="G362" i="2"/>
  <c r="G363" i="2"/>
  <c r="G364" i="2"/>
  <c r="G365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H404" i="2" s="1"/>
  <c r="G16" i="2"/>
  <c r="G17" i="2"/>
  <c r="G18" i="2"/>
  <c r="G19" i="2"/>
  <c r="G20" i="2"/>
  <c r="G21" i="2"/>
  <c r="H21" i="2" s="1"/>
  <c r="G22" i="2"/>
  <c r="G23" i="2"/>
  <c r="G24" i="2"/>
  <c r="G25" i="2"/>
  <c r="H25" i="2" s="1"/>
  <c r="G26" i="2"/>
  <c r="G27" i="2"/>
  <c r="F4" i="2"/>
  <c r="H4" i="2" s="1"/>
  <c r="F5" i="2"/>
  <c r="F6" i="2"/>
  <c r="F7" i="2"/>
  <c r="H7" i="2" s="1"/>
  <c r="F8" i="2"/>
  <c r="F9" i="2"/>
  <c r="F10" i="2"/>
  <c r="H10" i="2" s="1"/>
  <c r="F11" i="2"/>
  <c r="H11" i="2" s="1"/>
  <c r="F12" i="2"/>
  <c r="F13" i="2"/>
  <c r="F14" i="2"/>
  <c r="F16" i="2"/>
  <c r="H16" i="2" s="1"/>
  <c r="F17" i="2"/>
  <c r="F18" i="2"/>
  <c r="F19" i="2"/>
  <c r="F20" i="2"/>
  <c r="H20" i="2" s="1"/>
  <c r="F21" i="2"/>
  <c r="F22" i="2"/>
  <c r="F23" i="2"/>
  <c r="F24" i="2"/>
  <c r="H24" i="2" s="1"/>
  <c r="F25" i="2"/>
  <c r="F26" i="2"/>
  <c r="F27" i="2"/>
  <c r="F29" i="2"/>
  <c r="H29" i="2" s="1"/>
  <c r="F30" i="2"/>
  <c r="H30" i="2" s="1"/>
  <c r="F31" i="2"/>
  <c r="F32" i="2"/>
  <c r="F33" i="2"/>
  <c r="H33" i="2" s="1"/>
  <c r="F34" i="2"/>
  <c r="F35" i="2"/>
  <c r="H35" i="2" s="1"/>
  <c r="F36" i="2"/>
  <c r="F37" i="2"/>
  <c r="H37" i="2" s="1"/>
  <c r="F38" i="2"/>
  <c r="F39" i="2"/>
  <c r="H39" i="2" s="1"/>
  <c r="F40" i="2"/>
  <c r="F42" i="2"/>
  <c r="H42" i="2" s="1"/>
  <c r="F43" i="2"/>
  <c r="F44" i="2"/>
  <c r="H44" i="2" s="1"/>
  <c r="F45" i="2"/>
  <c r="F46" i="2"/>
  <c r="H46" i="2" s="1"/>
  <c r="F47" i="2"/>
  <c r="F48" i="2"/>
  <c r="F49" i="2"/>
  <c r="F50" i="2"/>
  <c r="H50" i="2" s="1"/>
  <c r="F51" i="2"/>
  <c r="H51" i="2" s="1"/>
  <c r="F52" i="2"/>
  <c r="H52" i="2" s="1"/>
  <c r="F53" i="2"/>
  <c r="F55" i="2"/>
  <c r="H55" i="2" s="1"/>
  <c r="F56" i="2"/>
  <c r="F57" i="2"/>
  <c r="H57" i="2" s="1"/>
  <c r="F58" i="2"/>
  <c r="F59" i="2"/>
  <c r="H59" i="2" s="1"/>
  <c r="F60" i="2"/>
  <c r="F61" i="2"/>
  <c r="H61" i="2" s="1"/>
  <c r="F62" i="2"/>
  <c r="F63" i="2"/>
  <c r="H63" i="2" s="1"/>
  <c r="F64" i="2"/>
  <c r="H64" i="2" s="1"/>
  <c r="F65" i="2"/>
  <c r="F66" i="2"/>
  <c r="F68" i="2"/>
  <c r="H68" i="2" s="1"/>
  <c r="F69" i="2"/>
  <c r="F70" i="2"/>
  <c r="H70" i="2" s="1"/>
  <c r="F71" i="2"/>
  <c r="F72" i="2"/>
  <c r="H72" i="2" s="1"/>
  <c r="F73" i="2"/>
  <c r="F74" i="2"/>
  <c r="H74" i="2" s="1"/>
  <c r="F75" i="2"/>
  <c r="F76" i="2"/>
  <c r="H76" i="2" s="1"/>
  <c r="F77" i="2"/>
  <c r="H77" i="2" s="1"/>
  <c r="F78" i="2"/>
  <c r="H78" i="2" s="1"/>
  <c r="F79" i="2"/>
  <c r="F81" i="2"/>
  <c r="H81" i="2" s="1"/>
  <c r="F82" i="2"/>
  <c r="F83" i="2"/>
  <c r="F84" i="2"/>
  <c r="F85" i="2"/>
  <c r="H85" i="2" s="1"/>
  <c r="F86" i="2"/>
  <c r="F87" i="2"/>
  <c r="H87" i="2" s="1"/>
  <c r="F88" i="2"/>
  <c r="F89" i="2"/>
  <c r="H89" i="2" s="1"/>
  <c r="F90" i="2"/>
  <c r="F91" i="2"/>
  <c r="H91" i="2" s="1"/>
  <c r="F92" i="2"/>
  <c r="F94" i="2"/>
  <c r="H94" i="2" s="1"/>
  <c r="F95" i="2"/>
  <c r="H95" i="2" s="1"/>
  <c r="F96" i="2"/>
  <c r="H96" i="2" s="1"/>
  <c r="F97" i="2"/>
  <c r="F98" i="2"/>
  <c r="H98" i="2" s="1"/>
  <c r="F99" i="2"/>
  <c r="F100" i="2"/>
  <c r="H100" i="2" s="1"/>
  <c r="F101" i="2"/>
  <c r="F102" i="2"/>
  <c r="H102" i="2" s="1"/>
  <c r="F103" i="2"/>
  <c r="F104" i="2"/>
  <c r="H104" i="2" s="1"/>
  <c r="F105" i="2"/>
  <c r="F107" i="2"/>
  <c r="H107" i="2" s="1"/>
  <c r="F108" i="2"/>
  <c r="F109" i="2"/>
  <c r="F110" i="2"/>
  <c r="F111" i="2"/>
  <c r="H111" i="2" s="1"/>
  <c r="F112" i="2"/>
  <c r="H112" i="2" s="1"/>
  <c r="F113" i="2"/>
  <c r="H113" i="2" s="1"/>
  <c r="F114" i="2"/>
  <c r="F115" i="2"/>
  <c r="H115" i="2" s="1"/>
  <c r="F116" i="2"/>
  <c r="F117" i="2"/>
  <c r="H117" i="2" s="1"/>
  <c r="F118" i="2"/>
  <c r="F120" i="2"/>
  <c r="H120" i="2" s="1"/>
  <c r="F121" i="2"/>
  <c r="F122" i="2"/>
  <c r="H122" i="2" s="1"/>
  <c r="F123" i="2"/>
  <c r="F124" i="2"/>
  <c r="H124" i="2" s="1"/>
  <c r="F125" i="2"/>
  <c r="F126" i="2"/>
  <c r="F127" i="2"/>
  <c r="F128" i="2"/>
  <c r="H128" i="2" s="1"/>
  <c r="F129" i="2"/>
  <c r="H129" i="2" s="1"/>
  <c r="F130" i="2"/>
  <c r="H130" i="2" s="1"/>
  <c r="F131" i="2"/>
  <c r="F133" i="2"/>
  <c r="H133" i="2" s="1"/>
  <c r="F134" i="2"/>
  <c r="F135" i="2"/>
  <c r="F136" i="2"/>
  <c r="F137" i="2"/>
  <c r="H137" i="2" s="1"/>
  <c r="F138" i="2"/>
  <c r="F139" i="2"/>
  <c r="H139" i="2" s="1"/>
  <c r="F140" i="2"/>
  <c r="F141" i="2"/>
  <c r="H141" i="2" s="1"/>
  <c r="F142" i="2"/>
  <c r="F143" i="2"/>
  <c r="H143" i="2" s="1"/>
  <c r="F144" i="2"/>
  <c r="F146" i="2"/>
  <c r="H146" i="2" s="1"/>
  <c r="F147" i="2"/>
  <c r="F148" i="2"/>
  <c r="H148" i="2" s="1"/>
  <c r="F149" i="2"/>
  <c r="F150" i="2"/>
  <c r="H150" i="2" s="1"/>
  <c r="F151" i="2"/>
  <c r="F152" i="2"/>
  <c r="H152" i="2" s="1"/>
  <c r="F153" i="2"/>
  <c r="F154" i="2"/>
  <c r="H154" i="2" s="1"/>
  <c r="F155" i="2"/>
  <c r="F156" i="2"/>
  <c r="F157" i="2"/>
  <c r="F159" i="2"/>
  <c r="H159" i="2" s="1"/>
  <c r="F160" i="2"/>
  <c r="F161" i="2"/>
  <c r="H161" i="2" s="1"/>
  <c r="F162" i="2"/>
  <c r="F163" i="2"/>
  <c r="H163" i="2" s="1"/>
  <c r="F164" i="2"/>
  <c r="F165" i="2"/>
  <c r="H165" i="2" s="1"/>
  <c r="F166" i="2"/>
  <c r="F167" i="2"/>
  <c r="H167" i="2" s="1"/>
  <c r="F168" i="2"/>
  <c r="F169" i="2"/>
  <c r="H169" i="2" s="1"/>
  <c r="F170" i="2"/>
  <c r="F172" i="2"/>
  <c r="H172" i="2" s="1"/>
  <c r="F173" i="2"/>
  <c r="F174" i="2"/>
  <c r="F175" i="2"/>
  <c r="F176" i="2"/>
  <c r="H176" i="2" s="1"/>
  <c r="F177" i="2"/>
  <c r="F178" i="2"/>
  <c r="H178" i="2" s="1"/>
  <c r="F179" i="2"/>
  <c r="F180" i="2"/>
  <c r="H180" i="2" s="1"/>
  <c r="F181" i="2"/>
  <c r="F182" i="2"/>
  <c r="H182" i="2" s="1"/>
  <c r="F183" i="2"/>
  <c r="F185" i="2"/>
  <c r="H185" i="2" s="1"/>
  <c r="F186" i="2"/>
  <c r="F187" i="2"/>
  <c r="H187" i="2" s="1"/>
  <c r="F188" i="2"/>
  <c r="F189" i="2"/>
  <c r="H189" i="2" s="1"/>
  <c r="F190" i="2"/>
  <c r="F191" i="2"/>
  <c r="H191" i="2" s="1"/>
  <c r="F192" i="2"/>
  <c r="F193" i="2"/>
  <c r="H193" i="2" s="1"/>
  <c r="F194" i="2"/>
  <c r="F195" i="2"/>
  <c r="H195" i="2" s="1"/>
  <c r="F196" i="2"/>
  <c r="F198" i="2"/>
  <c r="H198" i="2" s="1"/>
  <c r="F199" i="2"/>
  <c r="F200" i="2"/>
  <c r="H200" i="2" s="1"/>
  <c r="F201" i="2"/>
  <c r="F202" i="2"/>
  <c r="H202" i="2" s="1"/>
  <c r="F203" i="2"/>
  <c r="H203" i="2" s="1"/>
  <c r="F204" i="2"/>
  <c r="H204" i="2" s="1"/>
  <c r="F205" i="2"/>
  <c r="F206" i="2"/>
  <c r="H206" i="2" s="1"/>
  <c r="F207" i="2"/>
  <c r="H207" i="2" s="1"/>
  <c r="F208" i="2"/>
  <c r="H208" i="2" s="1"/>
  <c r="F209" i="2"/>
  <c r="F211" i="2"/>
  <c r="H211" i="2" s="1"/>
  <c r="F212" i="2"/>
  <c r="H212" i="2" s="1"/>
  <c r="F213" i="2"/>
  <c r="H213" i="2" s="1"/>
  <c r="F214" i="2"/>
  <c r="F215" i="2"/>
  <c r="H215" i="2" s="1"/>
  <c r="F216" i="2"/>
  <c r="H216" i="2" s="1"/>
  <c r="F217" i="2"/>
  <c r="H217" i="2" s="1"/>
  <c r="F218" i="2"/>
  <c r="F219" i="2"/>
  <c r="H219" i="2" s="1"/>
  <c r="F220" i="2"/>
  <c r="H220" i="2" s="1"/>
  <c r="F221" i="2"/>
  <c r="H221" i="2" s="1"/>
  <c r="F222" i="2"/>
  <c r="F224" i="2"/>
  <c r="H224" i="2" s="1"/>
  <c r="F225" i="2"/>
  <c r="H225" i="2" s="1"/>
  <c r="F226" i="2"/>
  <c r="F227" i="2"/>
  <c r="F228" i="2"/>
  <c r="H228" i="2" s="1"/>
  <c r="F229" i="2"/>
  <c r="H229" i="2" s="1"/>
  <c r="F230" i="2"/>
  <c r="H230" i="2" s="1"/>
  <c r="F231" i="2"/>
  <c r="F232" i="2"/>
  <c r="H232" i="2" s="1"/>
  <c r="F233" i="2"/>
  <c r="H233" i="2" s="1"/>
  <c r="F234" i="2"/>
  <c r="H234" i="2" s="1"/>
  <c r="F235" i="2"/>
  <c r="F237" i="2"/>
  <c r="H237" i="2" s="1"/>
  <c r="F238" i="2"/>
  <c r="H238" i="2" s="1"/>
  <c r="F239" i="2"/>
  <c r="H239" i="2" s="1"/>
  <c r="F240" i="2"/>
  <c r="F241" i="2"/>
  <c r="H241" i="2" s="1"/>
  <c r="F242" i="2"/>
  <c r="H242" i="2" s="1"/>
  <c r="F243" i="2"/>
  <c r="F244" i="2"/>
  <c r="F245" i="2"/>
  <c r="H245" i="2" s="1"/>
  <c r="F246" i="2"/>
  <c r="H246" i="2" s="1"/>
  <c r="F247" i="2"/>
  <c r="H247" i="2" s="1"/>
  <c r="F248" i="2"/>
  <c r="F250" i="2"/>
  <c r="H250" i="2" s="1"/>
  <c r="F251" i="2"/>
  <c r="H251" i="2" s="1"/>
  <c r="F252" i="2"/>
  <c r="H252" i="2" s="1"/>
  <c r="F253" i="2"/>
  <c r="F254" i="2"/>
  <c r="H254" i="2" s="1"/>
  <c r="F255" i="2"/>
  <c r="H255" i="2" s="1"/>
  <c r="F256" i="2"/>
  <c r="H256" i="2" s="1"/>
  <c r="F257" i="2"/>
  <c r="F258" i="2"/>
  <c r="H258" i="2" s="1"/>
  <c r="F259" i="2"/>
  <c r="H259" i="2" s="1"/>
  <c r="F260" i="2"/>
  <c r="H260" i="2" s="1"/>
  <c r="F261" i="2"/>
  <c r="F263" i="2"/>
  <c r="H263" i="2" s="1"/>
  <c r="F264" i="2"/>
  <c r="H264" i="2" s="1"/>
  <c r="F265" i="2"/>
  <c r="H265" i="2" s="1"/>
  <c r="F266" i="2"/>
  <c r="F267" i="2"/>
  <c r="H267" i="2" s="1"/>
  <c r="F268" i="2"/>
  <c r="H268" i="2" s="1"/>
  <c r="F269" i="2"/>
  <c r="H269" i="2" s="1"/>
  <c r="F270" i="2"/>
  <c r="F271" i="2"/>
  <c r="H271" i="2" s="1"/>
  <c r="F272" i="2"/>
  <c r="H272" i="2" s="1"/>
  <c r="F273" i="2"/>
  <c r="H273" i="2" s="1"/>
  <c r="F274" i="2"/>
  <c r="F276" i="2"/>
  <c r="H276" i="2" s="1"/>
  <c r="F277" i="2"/>
  <c r="H277" i="2" s="1"/>
  <c r="F278" i="2"/>
  <c r="H278" i="2" s="1"/>
  <c r="F279" i="2"/>
  <c r="F280" i="2"/>
  <c r="H280" i="2" s="1"/>
  <c r="F281" i="2"/>
  <c r="H281" i="2" s="1"/>
  <c r="F282" i="2"/>
  <c r="H282" i="2" s="1"/>
  <c r="F283" i="2"/>
  <c r="F284" i="2"/>
  <c r="H284" i="2" s="1"/>
  <c r="F285" i="2"/>
  <c r="H285" i="2" s="1"/>
  <c r="F286" i="2"/>
  <c r="H286" i="2" s="1"/>
  <c r="F287" i="2"/>
  <c r="F289" i="2"/>
  <c r="H289" i="2" s="1"/>
  <c r="F290" i="2"/>
  <c r="H290" i="2" s="1"/>
  <c r="F291" i="2"/>
  <c r="H291" i="2" s="1"/>
  <c r="F292" i="2"/>
  <c r="F293" i="2"/>
  <c r="H293" i="2" s="1"/>
  <c r="F294" i="2"/>
  <c r="H294" i="2" s="1"/>
  <c r="F295" i="2"/>
  <c r="F296" i="2"/>
  <c r="F297" i="2"/>
  <c r="H297" i="2" s="1"/>
  <c r="F298" i="2"/>
  <c r="H298" i="2" s="1"/>
  <c r="F299" i="2"/>
  <c r="H299" i="2" s="1"/>
  <c r="F300" i="2"/>
  <c r="F302" i="2"/>
  <c r="H302" i="2" s="1"/>
  <c r="F303" i="2"/>
  <c r="H303" i="2" s="1"/>
  <c r="F304" i="2"/>
  <c r="H304" i="2" s="1"/>
  <c r="F305" i="2"/>
  <c r="F306" i="2"/>
  <c r="H306" i="2" s="1"/>
  <c r="F307" i="2"/>
  <c r="H307" i="2" s="1"/>
  <c r="F308" i="2"/>
  <c r="H308" i="2" s="1"/>
  <c r="F309" i="2"/>
  <c r="F310" i="2"/>
  <c r="H310" i="2" s="1"/>
  <c r="F311" i="2"/>
  <c r="H311" i="2" s="1"/>
  <c r="F312" i="2"/>
  <c r="F313" i="2"/>
  <c r="F315" i="2"/>
  <c r="H315" i="2" s="1"/>
  <c r="F316" i="2"/>
  <c r="H316" i="2" s="1"/>
  <c r="F317" i="2"/>
  <c r="H317" i="2" s="1"/>
  <c r="F318" i="2"/>
  <c r="F319" i="2"/>
  <c r="H319" i="2" s="1"/>
  <c r="F320" i="2"/>
  <c r="H320" i="2" s="1"/>
  <c r="F321" i="2"/>
  <c r="H321" i="2" s="1"/>
  <c r="F322" i="2"/>
  <c r="F323" i="2"/>
  <c r="H323" i="2" s="1"/>
  <c r="F324" i="2"/>
  <c r="H324" i="2" s="1"/>
  <c r="F325" i="2"/>
  <c r="H325" i="2" s="1"/>
  <c r="F326" i="2"/>
  <c r="F328" i="2"/>
  <c r="H328" i="2" s="1"/>
  <c r="F329" i="2"/>
  <c r="H329" i="2" s="1"/>
  <c r="F330" i="2"/>
  <c r="H330" i="2" s="1"/>
  <c r="F331" i="2"/>
  <c r="F332" i="2"/>
  <c r="H332" i="2" s="1"/>
  <c r="F333" i="2"/>
  <c r="H333" i="2" s="1"/>
  <c r="F334" i="2"/>
  <c r="H334" i="2" s="1"/>
  <c r="F335" i="2"/>
  <c r="F336" i="2"/>
  <c r="H336" i="2" s="1"/>
  <c r="F337" i="2"/>
  <c r="H337" i="2" s="1"/>
  <c r="F338" i="2"/>
  <c r="H338" i="2" s="1"/>
  <c r="F339" i="2"/>
  <c r="F341" i="2"/>
  <c r="H341" i="2" s="1"/>
  <c r="F342" i="2"/>
  <c r="H342" i="2" s="1"/>
  <c r="F343" i="2"/>
  <c r="H343" i="2" s="1"/>
  <c r="F344" i="2"/>
  <c r="F345" i="2"/>
  <c r="H345" i="2" s="1"/>
  <c r="F346" i="2"/>
  <c r="H346" i="2" s="1"/>
  <c r="F347" i="2"/>
  <c r="H347" i="2" s="1"/>
  <c r="F348" i="2"/>
  <c r="F349" i="2"/>
  <c r="H349" i="2" s="1"/>
  <c r="F350" i="2"/>
  <c r="H350" i="2" s="1"/>
  <c r="F351" i="2"/>
  <c r="H351" i="2" s="1"/>
  <c r="F352" i="2"/>
  <c r="F354" i="2"/>
  <c r="H354" i="2" s="1"/>
  <c r="F355" i="2"/>
  <c r="H355" i="2" s="1"/>
  <c r="F356" i="2"/>
  <c r="H356" i="2" s="1"/>
  <c r="F357" i="2"/>
  <c r="F358" i="2"/>
  <c r="H358" i="2" s="1"/>
  <c r="F359" i="2"/>
  <c r="H359" i="2" s="1"/>
  <c r="F360" i="2"/>
  <c r="H360" i="2" s="1"/>
  <c r="F361" i="2"/>
  <c r="F362" i="2"/>
  <c r="H362" i="2" s="1"/>
  <c r="F363" i="2"/>
  <c r="H363" i="2" s="1"/>
  <c r="F364" i="2"/>
  <c r="F365" i="2"/>
  <c r="F367" i="2"/>
  <c r="H367" i="2" s="1"/>
  <c r="F368" i="2"/>
  <c r="H368" i="2" s="1"/>
  <c r="F369" i="2"/>
  <c r="H369" i="2" s="1"/>
  <c r="F370" i="2"/>
  <c r="F371" i="2"/>
  <c r="H371" i="2" s="1"/>
  <c r="F372" i="2"/>
  <c r="H372" i="2" s="1"/>
  <c r="F373" i="2"/>
  <c r="H373" i="2" s="1"/>
  <c r="F374" i="2"/>
  <c r="F375" i="2"/>
  <c r="H375" i="2" s="1"/>
  <c r="F376" i="2"/>
  <c r="H376" i="2" s="1"/>
  <c r="F377" i="2"/>
  <c r="H377" i="2" s="1"/>
  <c r="F378" i="2"/>
  <c r="F380" i="2"/>
  <c r="H380" i="2" s="1"/>
  <c r="F381" i="2"/>
  <c r="H381" i="2" s="1"/>
  <c r="F382" i="2"/>
  <c r="F383" i="2"/>
  <c r="F384" i="2"/>
  <c r="H384" i="2" s="1"/>
  <c r="F385" i="2"/>
  <c r="H385" i="2" s="1"/>
  <c r="F386" i="2"/>
  <c r="H386" i="2" s="1"/>
  <c r="F387" i="2"/>
  <c r="H387" i="2" s="1"/>
  <c r="F388" i="2"/>
  <c r="H388" i="2" s="1"/>
  <c r="F389" i="2"/>
  <c r="H389" i="2" s="1"/>
  <c r="F390" i="2"/>
  <c r="H390" i="2" s="1"/>
  <c r="F391" i="2"/>
  <c r="F393" i="2"/>
  <c r="H393" i="2" s="1"/>
  <c r="F394" i="2"/>
  <c r="H394" i="2" s="1"/>
  <c r="F395" i="2"/>
  <c r="H395" i="2" s="1"/>
  <c r="F396" i="2"/>
  <c r="F397" i="2"/>
  <c r="H397" i="2" s="1"/>
  <c r="F398" i="2"/>
  <c r="H398" i="2" s="1"/>
  <c r="F399" i="2"/>
  <c r="H399" i="2" s="1"/>
  <c r="F400" i="2"/>
  <c r="F401" i="2"/>
  <c r="H401" i="2" s="1"/>
  <c r="F402" i="2"/>
  <c r="H402" i="2" s="1"/>
  <c r="F403" i="2"/>
  <c r="H403" i="2" s="1"/>
  <c r="F404" i="2"/>
  <c r="G4" i="2"/>
  <c r="G5" i="2"/>
  <c r="G6" i="2"/>
  <c r="G7" i="2"/>
  <c r="G8" i="2"/>
  <c r="H8" i="2" s="1"/>
  <c r="G9" i="2"/>
  <c r="G10" i="2"/>
  <c r="G11" i="2"/>
  <c r="G12" i="2"/>
  <c r="G13" i="2"/>
  <c r="G14" i="2"/>
  <c r="G3" i="2"/>
  <c r="F3" i="2"/>
  <c r="H3" i="2" s="1"/>
  <c r="J389" i="1"/>
  <c r="K389" i="1" s="1"/>
  <c r="N389" i="1" s="1"/>
  <c r="O389" i="1" s="1"/>
  <c r="N148" i="1"/>
  <c r="G3" i="1"/>
  <c r="K197" i="3" l="1"/>
  <c r="H3" i="3"/>
  <c r="H112" i="3"/>
  <c r="K366" i="3"/>
  <c r="K353" i="3"/>
  <c r="K340" i="3"/>
  <c r="K327" i="3"/>
  <c r="K288" i="3"/>
  <c r="K275" i="3"/>
  <c r="K236" i="3"/>
  <c r="K223" i="3"/>
  <c r="K184" i="3"/>
  <c r="K171" i="3"/>
  <c r="K158" i="3"/>
  <c r="K132" i="3"/>
  <c r="K119" i="3"/>
  <c r="K106" i="3"/>
  <c r="H252" i="3"/>
  <c r="K314" i="3"/>
  <c r="K262" i="3"/>
  <c r="K249" i="3"/>
  <c r="K210" i="3"/>
  <c r="K145" i="3"/>
  <c r="H176" i="3"/>
  <c r="H76" i="3"/>
  <c r="H263" i="3"/>
  <c r="H61" i="3"/>
  <c r="H57" i="3"/>
  <c r="H52" i="3"/>
  <c r="H48" i="3"/>
  <c r="H44" i="3"/>
  <c r="H346" i="3"/>
  <c r="N378" i="2"/>
  <c r="O378" i="2" s="1"/>
  <c r="N344" i="2"/>
  <c r="O344" i="2"/>
  <c r="H400" i="2"/>
  <c r="H396" i="2"/>
  <c r="H378" i="2"/>
  <c r="H370" i="2"/>
  <c r="H379" i="2" s="1"/>
  <c r="H352" i="2"/>
  <c r="H326" i="2"/>
  <c r="H309" i="2"/>
  <c r="H300" i="2"/>
  <c r="H301" i="2" s="1"/>
  <c r="H283" i="2"/>
  <c r="H257" i="2"/>
  <c r="H240" i="2"/>
  <c r="H231" i="2"/>
  <c r="H214" i="2"/>
  <c r="H188" i="2"/>
  <c r="H170" i="2"/>
  <c r="H162" i="2"/>
  <c r="H171" i="2" s="1"/>
  <c r="H144" i="2"/>
  <c r="H391" i="2"/>
  <c r="H383" i="2"/>
  <c r="H365" i="2"/>
  <c r="H366" i="2" s="1"/>
  <c r="H357" i="2"/>
  <c r="H331" i="2"/>
  <c r="H305" i="2"/>
  <c r="H314" i="2" s="1"/>
  <c r="H287" i="2"/>
  <c r="H279" i="2"/>
  <c r="H261" i="2"/>
  <c r="H244" i="2"/>
  <c r="H235" i="2"/>
  <c r="H227" i="2"/>
  <c r="H218" i="2"/>
  <c r="H209" i="2"/>
  <c r="H201" i="2"/>
  <c r="H192" i="2"/>
  <c r="H183" i="2"/>
  <c r="H175" i="2"/>
  <c r="H166" i="2"/>
  <c r="H157" i="2"/>
  <c r="H149" i="2"/>
  <c r="H140" i="2"/>
  <c r="H136" i="2"/>
  <c r="H131" i="2"/>
  <c r="H127" i="2"/>
  <c r="H123" i="2"/>
  <c r="H118" i="2"/>
  <c r="H114" i="2"/>
  <c r="H110" i="2"/>
  <c r="H105" i="2"/>
  <c r="H101" i="2"/>
  <c r="H106" i="2" s="1"/>
  <c r="H97" i="2"/>
  <c r="H92" i="2"/>
  <c r="H88" i="2"/>
  <c r="H84" i="2"/>
  <c r="H93" i="2" s="1"/>
  <c r="H79" i="2"/>
  <c r="H75" i="2"/>
  <c r="H71" i="2"/>
  <c r="H66" i="2"/>
  <c r="H62" i="2"/>
  <c r="H58" i="2"/>
  <c r="H53" i="2"/>
  <c r="H49" i="2"/>
  <c r="H54" i="2" s="1"/>
  <c r="H45" i="2"/>
  <c r="H40" i="2"/>
  <c r="H36" i="2"/>
  <c r="H32" i="2"/>
  <c r="H41" i="2" s="1"/>
  <c r="H27" i="2"/>
  <c r="H23" i="2"/>
  <c r="H19" i="2"/>
  <c r="H374" i="2"/>
  <c r="H348" i="2"/>
  <c r="H339" i="2"/>
  <c r="H322" i="2"/>
  <c r="H327" i="2" s="1"/>
  <c r="H313" i="2"/>
  <c r="H296" i="2"/>
  <c r="H270" i="2"/>
  <c r="H253" i="2"/>
  <c r="H262" i="2" s="1"/>
  <c r="H26" i="2"/>
  <c r="H13" i="2"/>
  <c r="H9" i="2"/>
  <c r="H5" i="2"/>
  <c r="H199" i="2"/>
  <c r="H210" i="2" s="1"/>
  <c r="H194" i="2"/>
  <c r="H190" i="2"/>
  <c r="H186" i="2"/>
  <c r="H181" i="2"/>
  <c r="H177" i="2"/>
  <c r="H173" i="2"/>
  <c r="H168" i="2"/>
  <c r="H164" i="2"/>
  <c r="H160" i="2"/>
  <c r="H155" i="2"/>
  <c r="H151" i="2"/>
  <c r="H147" i="2"/>
  <c r="H158" i="2" s="1"/>
  <c r="H142" i="2"/>
  <c r="H17" i="2"/>
  <c r="H12" i="2"/>
  <c r="N128" i="2"/>
  <c r="O128" i="2" s="1"/>
  <c r="O111" i="2"/>
  <c r="N111" i="2"/>
  <c r="K106" i="2"/>
  <c r="N94" i="2"/>
  <c r="O76" i="2"/>
  <c r="N76" i="2"/>
  <c r="N59" i="2"/>
  <c r="O59" i="2" s="1"/>
  <c r="K54" i="2"/>
  <c r="N42" i="2"/>
  <c r="N24" i="2"/>
  <c r="O24" i="2" s="1"/>
  <c r="N7" i="2"/>
  <c r="O7" i="2" s="1"/>
  <c r="K15" i="2"/>
  <c r="N3" i="2"/>
  <c r="O3" i="2" s="1"/>
  <c r="O137" i="2"/>
  <c r="N137" i="2"/>
  <c r="K132" i="2"/>
  <c r="N120" i="2"/>
  <c r="O102" i="2"/>
  <c r="N102" i="2"/>
  <c r="N85" i="2"/>
  <c r="O85" i="2" s="1"/>
  <c r="K80" i="2"/>
  <c r="N68" i="2"/>
  <c r="O50" i="2"/>
  <c r="N50" i="2"/>
  <c r="N33" i="2"/>
  <c r="O33" i="2" s="1"/>
  <c r="K28" i="2"/>
  <c r="O16" i="2"/>
  <c r="N16" i="2"/>
  <c r="H405" i="2"/>
  <c r="H392" i="2"/>
  <c r="H353" i="2"/>
  <c r="H340" i="2"/>
  <c r="H288" i="2"/>
  <c r="H275" i="2"/>
  <c r="H249" i="2"/>
  <c r="H236" i="2"/>
  <c r="H223" i="2"/>
  <c r="H197" i="2"/>
  <c r="H184" i="2"/>
  <c r="H132" i="2"/>
  <c r="H119" i="2"/>
  <c r="H80" i="2"/>
  <c r="H67" i="2"/>
  <c r="N404" i="2"/>
  <c r="O404" i="2" s="1"/>
  <c r="O400" i="2"/>
  <c r="N400" i="2"/>
  <c r="O399" i="2"/>
  <c r="N399" i="2"/>
  <c r="N386" i="2"/>
  <c r="O386" i="2" s="1"/>
  <c r="O377" i="2"/>
  <c r="N377" i="2"/>
  <c r="N369" i="2"/>
  <c r="O369" i="2" s="1"/>
  <c r="O360" i="2"/>
  <c r="N360" i="2"/>
  <c r="N351" i="2"/>
  <c r="O351" i="2" s="1"/>
  <c r="O343" i="2"/>
  <c r="N343" i="2"/>
  <c r="N334" i="2"/>
  <c r="O334" i="2" s="1"/>
  <c r="O325" i="2"/>
  <c r="N325" i="2"/>
  <c r="N317" i="2"/>
  <c r="O317" i="2" s="1"/>
  <c r="O308" i="2"/>
  <c r="N308" i="2"/>
  <c r="N299" i="2"/>
  <c r="O299" i="2" s="1"/>
  <c r="O291" i="2"/>
  <c r="N291" i="2"/>
  <c r="N273" i="2"/>
  <c r="O273" i="2" s="1"/>
  <c r="N265" i="2"/>
  <c r="O265" i="2" s="1"/>
  <c r="N256" i="2"/>
  <c r="O256" i="2" s="1"/>
  <c r="O247" i="2"/>
  <c r="N230" i="2"/>
  <c r="O230" i="2" s="1"/>
  <c r="O221" i="2"/>
  <c r="N221" i="2"/>
  <c r="N213" i="2"/>
  <c r="O213" i="2" s="1"/>
  <c r="O204" i="2"/>
  <c r="N204" i="2"/>
  <c r="N195" i="2"/>
  <c r="O195" i="2" s="1"/>
  <c r="O187" i="2"/>
  <c r="N187" i="2"/>
  <c r="N178" i="2"/>
  <c r="O178" i="2" s="1"/>
  <c r="O169" i="2"/>
  <c r="N169" i="2"/>
  <c r="N161" i="2"/>
  <c r="O161" i="2" s="1"/>
  <c r="N143" i="2"/>
  <c r="O143" i="2" s="1"/>
  <c r="N99" i="2"/>
  <c r="O99" i="2" s="1"/>
  <c r="N30" i="2"/>
  <c r="O30" i="2" s="1"/>
  <c r="H6" i="2"/>
  <c r="H15" i="2" s="1"/>
  <c r="N395" i="2"/>
  <c r="O395" i="2" s="1"/>
  <c r="N108" i="2"/>
  <c r="O108" i="2" s="1"/>
  <c r="N73" i="2"/>
  <c r="O73" i="2"/>
  <c r="N38" i="2"/>
  <c r="O38" i="2" s="1"/>
  <c r="N4" i="2"/>
  <c r="O4" i="2"/>
  <c r="N282" i="2"/>
  <c r="O282" i="2" s="1"/>
  <c r="N397" i="2"/>
  <c r="O397" i="2" s="1"/>
  <c r="K405" i="2"/>
  <c r="O393" i="2"/>
  <c r="N388" i="2"/>
  <c r="O388" i="2" s="1"/>
  <c r="K392" i="2"/>
  <c r="N380" i="2"/>
  <c r="O375" i="2"/>
  <c r="N371" i="2"/>
  <c r="O371" i="2" s="1"/>
  <c r="K379" i="2"/>
  <c r="O362" i="2"/>
  <c r="N362" i="2"/>
  <c r="O358" i="2"/>
  <c r="K366" i="2"/>
  <c r="O354" i="2"/>
  <c r="N354" i="2"/>
  <c r="N345" i="2"/>
  <c r="O345" i="2" s="1"/>
  <c r="K353" i="2"/>
  <c r="O341" i="2"/>
  <c r="N336" i="2"/>
  <c r="O336" i="2" s="1"/>
  <c r="K340" i="2"/>
  <c r="N328" i="2"/>
  <c r="O328" i="2" s="1"/>
  <c r="O323" i="2"/>
  <c r="N319" i="2"/>
  <c r="O319" i="2" s="1"/>
  <c r="K327" i="2"/>
  <c r="O310" i="2"/>
  <c r="N310" i="2"/>
  <c r="O306" i="2"/>
  <c r="K314" i="2"/>
  <c r="O302" i="2"/>
  <c r="N302" i="2"/>
  <c r="O297" i="2"/>
  <c r="N293" i="2"/>
  <c r="O293" i="2" s="1"/>
  <c r="K301" i="2"/>
  <c r="N289" i="2"/>
  <c r="N284" i="2"/>
  <c r="O284" i="2" s="1"/>
  <c r="N280" i="2"/>
  <c r="O280" i="2" s="1"/>
  <c r="K288" i="2"/>
  <c r="N276" i="2"/>
  <c r="N271" i="2"/>
  <c r="O271" i="2" s="1"/>
  <c r="N267" i="2"/>
  <c r="O267" i="2" s="1"/>
  <c r="K275" i="2"/>
  <c r="N263" i="2"/>
  <c r="O263" i="2" s="1"/>
  <c r="O258" i="2"/>
  <c r="N258" i="2"/>
  <c r="N254" i="2"/>
  <c r="O254" i="2" s="1"/>
  <c r="K262" i="2"/>
  <c r="N250" i="2"/>
  <c r="N245" i="2"/>
  <c r="O245" i="2"/>
  <c r="N241" i="2"/>
  <c r="O241" i="2" s="1"/>
  <c r="K249" i="2"/>
  <c r="N237" i="2"/>
  <c r="O237" i="2" s="1"/>
  <c r="O232" i="2"/>
  <c r="N232" i="2"/>
  <c r="N228" i="2"/>
  <c r="O228" i="2" s="1"/>
  <c r="K236" i="2"/>
  <c r="N224" i="2"/>
  <c r="N219" i="2"/>
  <c r="O219" i="2" s="1"/>
  <c r="N215" i="2"/>
  <c r="O215" i="2" s="1"/>
  <c r="K223" i="2"/>
  <c r="O211" i="2"/>
  <c r="N211" i="2"/>
  <c r="N206" i="2"/>
  <c r="O206" i="2" s="1"/>
  <c r="O202" i="2"/>
  <c r="N202" i="2"/>
  <c r="K210" i="2"/>
  <c r="N198" i="2"/>
  <c r="N193" i="2"/>
  <c r="O193" i="2" s="1"/>
  <c r="N189" i="2"/>
  <c r="O189" i="2" s="1"/>
  <c r="K197" i="2"/>
  <c r="O185" i="2"/>
  <c r="N185" i="2"/>
  <c r="N180" i="2"/>
  <c r="O180" i="2" s="1"/>
  <c r="O176" i="2"/>
  <c r="N176" i="2"/>
  <c r="K184" i="2"/>
  <c r="N172" i="2"/>
  <c r="N167" i="2"/>
  <c r="O167" i="2" s="1"/>
  <c r="N163" i="2"/>
  <c r="O163" i="2" s="1"/>
  <c r="K171" i="2"/>
  <c r="N159" i="2"/>
  <c r="O159" i="2" s="1"/>
  <c r="O154" i="2"/>
  <c r="N154" i="2"/>
  <c r="N150" i="2"/>
  <c r="O150" i="2" s="1"/>
  <c r="K158" i="2"/>
  <c r="N146" i="2"/>
  <c r="N141" i="2"/>
  <c r="O141" i="2" s="1"/>
  <c r="N133" i="2"/>
  <c r="O133" i="2" s="1"/>
  <c r="N124" i="2"/>
  <c r="O124" i="2" s="1"/>
  <c r="N115" i="2"/>
  <c r="O115" i="2" s="1"/>
  <c r="K119" i="2"/>
  <c r="O107" i="2"/>
  <c r="N107" i="2"/>
  <c r="N98" i="2"/>
  <c r="O98" i="2" s="1"/>
  <c r="O89" i="2"/>
  <c r="N89" i="2"/>
  <c r="K93" i="2"/>
  <c r="N81" i="2"/>
  <c r="O81" i="2" s="1"/>
  <c r="N72" i="2"/>
  <c r="O72" i="2" s="1"/>
  <c r="N63" i="2"/>
  <c r="O63" i="2" s="1"/>
  <c r="K67" i="2"/>
  <c r="N55" i="2"/>
  <c r="O55" i="2" s="1"/>
  <c r="O46" i="2"/>
  <c r="N46" i="2"/>
  <c r="N37" i="2"/>
  <c r="O37" i="2" s="1"/>
  <c r="K41" i="2"/>
  <c r="N29" i="2"/>
  <c r="N20" i="2"/>
  <c r="O20" i="2" s="1"/>
  <c r="N11" i="2"/>
  <c r="O11" i="2" s="1"/>
  <c r="O389" i="2"/>
  <c r="O372" i="2"/>
  <c r="O355" i="2"/>
  <c r="O337" i="2"/>
  <c r="O320" i="2"/>
  <c r="O311" i="2"/>
  <c r="O303" i="2"/>
  <c r="N285" i="2"/>
  <c r="O285" i="2" s="1"/>
  <c r="N277" i="2"/>
  <c r="O277" i="2" s="1"/>
  <c r="N268" i="2"/>
  <c r="O268" i="2" s="1"/>
  <c r="O259" i="2"/>
  <c r="N251" i="2"/>
  <c r="O251" i="2" s="1"/>
  <c r="O242" i="2"/>
  <c r="N242" i="2"/>
  <c r="N233" i="2"/>
  <c r="O233" i="2" s="1"/>
  <c r="N216" i="2"/>
  <c r="O216" i="2" s="1"/>
  <c r="N207" i="2"/>
  <c r="O207" i="2" s="1"/>
  <c r="N199" i="2"/>
  <c r="O199" i="2" s="1"/>
  <c r="N190" i="2"/>
  <c r="O190" i="2" s="1"/>
  <c r="N181" i="2"/>
  <c r="O181" i="2" s="1"/>
  <c r="N173" i="2"/>
  <c r="O173" i="2" s="1"/>
  <c r="N164" i="2"/>
  <c r="O164" i="2" s="1"/>
  <c r="N155" i="2"/>
  <c r="O155" i="2" s="1"/>
  <c r="N147" i="2"/>
  <c r="O147" i="2" s="1"/>
  <c r="N125" i="2"/>
  <c r="O125" i="2"/>
  <c r="N90" i="2"/>
  <c r="O90" i="2" s="1"/>
  <c r="N56" i="2"/>
  <c r="O56" i="2"/>
  <c r="N21" i="2"/>
  <c r="O21" i="2" s="1"/>
  <c r="N381" i="2"/>
  <c r="O381" i="2" s="1"/>
  <c r="N363" i="2"/>
  <c r="O363" i="2" s="1"/>
  <c r="N346" i="2"/>
  <c r="O346" i="2" s="1"/>
  <c r="N329" i="2"/>
  <c r="O329" i="2" s="1"/>
  <c r="N311" i="2"/>
  <c r="N294" i="2"/>
  <c r="O294" i="2" s="1"/>
  <c r="N225" i="2"/>
  <c r="O225" i="2" s="1"/>
  <c r="O152" i="2"/>
  <c r="N152" i="2"/>
  <c r="N134" i="2"/>
  <c r="O134" i="2" s="1"/>
  <c r="N64" i="2"/>
  <c r="O64" i="2" s="1"/>
  <c r="H22" i="2"/>
  <c r="H18" i="2"/>
  <c r="N402" i="2"/>
  <c r="O402" i="2" s="1"/>
  <c r="O398" i="2"/>
  <c r="N394" i="2"/>
  <c r="O174" i="2"/>
  <c r="N116" i="2"/>
  <c r="O116" i="2" s="1"/>
  <c r="N82" i="2"/>
  <c r="O82" i="2"/>
  <c r="N47" i="2"/>
  <c r="O47" i="2" s="1"/>
  <c r="N12" i="2"/>
  <c r="O12" i="2"/>
  <c r="N401" i="2"/>
  <c r="O401" i="2" s="1"/>
  <c r="N384" i="2"/>
  <c r="O384" i="2" s="1"/>
  <c r="N367" i="2"/>
  <c r="N349" i="2"/>
  <c r="O349" i="2" s="1"/>
  <c r="N332" i="2"/>
  <c r="O332" i="2" s="1"/>
  <c r="N315" i="2"/>
  <c r="N297" i="2"/>
  <c r="H138" i="2"/>
  <c r="N391" i="2"/>
  <c r="O391" i="2" s="1"/>
  <c r="N387" i="2"/>
  <c r="O387" i="2" s="1"/>
  <c r="N383" i="2"/>
  <c r="O383" i="2" s="1"/>
  <c r="N374" i="2"/>
  <c r="O374" i="2" s="1"/>
  <c r="N370" i="2"/>
  <c r="O370" i="2" s="1"/>
  <c r="N365" i="2"/>
  <c r="O365" i="2" s="1"/>
  <c r="N357" i="2"/>
  <c r="O357" i="2" s="1"/>
  <c r="N352" i="2"/>
  <c r="O352" i="2" s="1"/>
  <c r="N348" i="2"/>
  <c r="O348" i="2" s="1"/>
  <c r="N339" i="2"/>
  <c r="O339" i="2" s="1"/>
  <c r="N335" i="2"/>
  <c r="O335" i="2" s="1"/>
  <c r="N331" i="2"/>
  <c r="O331" i="2" s="1"/>
  <c r="N322" i="2"/>
  <c r="O322" i="2" s="1"/>
  <c r="N318" i="2"/>
  <c r="O318" i="2" s="1"/>
  <c r="N313" i="2"/>
  <c r="O313" i="2" s="1"/>
  <c r="N305" i="2"/>
  <c r="O305" i="2" s="1"/>
  <c r="N300" i="2"/>
  <c r="O300" i="2" s="1"/>
  <c r="N296" i="2"/>
  <c r="O296" i="2" s="1"/>
  <c r="N283" i="2"/>
  <c r="O283" i="2" s="1"/>
  <c r="O279" i="2"/>
  <c r="N279" i="2"/>
  <c r="O270" i="2"/>
  <c r="N266" i="2"/>
  <c r="O266" i="2" s="1"/>
  <c r="N261" i="2"/>
  <c r="O261" i="2" s="1"/>
  <c r="O248" i="2"/>
  <c r="N248" i="2"/>
  <c r="N244" i="2"/>
  <c r="O244" i="2" s="1"/>
  <c r="O240" i="2"/>
  <c r="O235" i="2"/>
  <c r="N231" i="2"/>
  <c r="O231" i="2" s="1"/>
  <c r="O227" i="2"/>
  <c r="N227" i="2"/>
  <c r="N214" i="2"/>
  <c r="O214" i="2" s="1"/>
  <c r="O209" i="2"/>
  <c r="N209" i="2"/>
  <c r="N205" i="2"/>
  <c r="O205" i="2" s="1"/>
  <c r="O201" i="2"/>
  <c r="N201" i="2"/>
  <c r="N196" i="2"/>
  <c r="O196" i="2" s="1"/>
  <c r="O192" i="2"/>
  <c r="N192" i="2"/>
  <c r="N188" i="2"/>
  <c r="O188" i="2" s="1"/>
  <c r="O183" i="2"/>
  <c r="N183" i="2"/>
  <c r="N179" i="2"/>
  <c r="O179" i="2" s="1"/>
  <c r="O175" i="2"/>
  <c r="N175" i="2"/>
  <c r="N170" i="2"/>
  <c r="O170" i="2" s="1"/>
  <c r="O166" i="2"/>
  <c r="N166" i="2"/>
  <c r="N162" i="2"/>
  <c r="O162" i="2" s="1"/>
  <c r="O157" i="2"/>
  <c r="N157" i="2"/>
  <c r="N153" i="2"/>
  <c r="O153" i="2" s="1"/>
  <c r="O149" i="2"/>
  <c r="N149" i="2"/>
  <c r="N144" i="2"/>
  <c r="O144" i="2" s="1"/>
  <c r="O140" i="2"/>
  <c r="N140" i="2"/>
  <c r="N136" i="2"/>
  <c r="O136" i="2" s="1"/>
  <c r="O131" i="2"/>
  <c r="N131" i="2"/>
  <c r="N127" i="2"/>
  <c r="O127" i="2" s="1"/>
  <c r="O123" i="2"/>
  <c r="N123" i="2"/>
  <c r="N118" i="2"/>
  <c r="O118" i="2" s="1"/>
  <c r="O114" i="2"/>
  <c r="N114" i="2"/>
  <c r="N110" i="2"/>
  <c r="O110" i="2" s="1"/>
  <c r="O105" i="2"/>
  <c r="N105" i="2"/>
  <c r="N101" i="2"/>
  <c r="O101" i="2" s="1"/>
  <c r="N92" i="2"/>
  <c r="O92" i="2" s="1"/>
  <c r="N88" i="2"/>
  <c r="O88" i="2" s="1"/>
  <c r="N84" i="2"/>
  <c r="O84" i="2" s="1"/>
  <c r="O79" i="2"/>
  <c r="O75" i="2"/>
  <c r="N75" i="2"/>
  <c r="N71" i="2"/>
  <c r="O71" i="2" s="1"/>
  <c r="O66" i="2"/>
  <c r="N66" i="2"/>
  <c r="N58" i="2"/>
  <c r="O58" i="2" s="1"/>
  <c r="N53" i="2"/>
  <c r="O53" i="2" s="1"/>
  <c r="N49" i="2"/>
  <c r="O49" i="2" s="1"/>
  <c r="O45" i="2"/>
  <c r="O40" i="2"/>
  <c r="N40" i="2"/>
  <c r="N36" i="2"/>
  <c r="O36" i="2" s="1"/>
  <c r="O32" i="2"/>
  <c r="N32" i="2"/>
  <c r="N23" i="2"/>
  <c r="O23" i="2" s="1"/>
  <c r="N19" i="2"/>
  <c r="O19" i="2" s="1"/>
  <c r="N14" i="2"/>
  <c r="O14" i="2" s="1"/>
  <c r="O10" i="2"/>
  <c r="N6" i="2"/>
  <c r="O6" i="2" s="1"/>
  <c r="N290" i="2"/>
  <c r="O290" i="2" s="1"/>
  <c r="O272" i="2"/>
  <c r="N272" i="2"/>
  <c r="O264" i="2"/>
  <c r="N255" i="2"/>
  <c r="O255" i="2" s="1"/>
  <c r="O238" i="2"/>
  <c r="N238" i="2"/>
  <c r="O229" i="2"/>
  <c r="N220" i="2"/>
  <c r="O220" i="2" s="1"/>
  <c r="O212" i="2"/>
  <c r="O194" i="2"/>
  <c r="O177" i="2"/>
  <c r="O160" i="2"/>
  <c r="O142" i="2"/>
  <c r="N292" i="2"/>
  <c r="O292" i="2" s="1"/>
  <c r="N281" i="2"/>
  <c r="O281" i="2" s="1"/>
  <c r="N257" i="2"/>
  <c r="O257" i="2" s="1"/>
  <c r="N246" i="2"/>
  <c r="O246" i="2" s="1"/>
  <c r="N222" i="2"/>
  <c r="O222" i="2" s="1"/>
  <c r="N174" i="2"/>
  <c r="N97" i="2"/>
  <c r="O97" i="2" s="1"/>
  <c r="N62" i="2"/>
  <c r="O62" i="2" s="1"/>
  <c r="N27" i="2"/>
  <c r="O27" i="2" s="1"/>
  <c r="O396" i="2"/>
  <c r="O361" i="2"/>
  <c r="O326" i="2"/>
  <c r="O34" i="2"/>
  <c r="N403" i="2"/>
  <c r="O403" i="2" s="1"/>
  <c r="N135" i="2"/>
  <c r="O135" i="2" s="1"/>
  <c r="N130" i="2"/>
  <c r="O130" i="2" s="1"/>
  <c r="N126" i="2"/>
  <c r="O126" i="2" s="1"/>
  <c r="N122" i="2"/>
  <c r="O122" i="2" s="1"/>
  <c r="N117" i="2"/>
  <c r="O117" i="2" s="1"/>
  <c r="N113" i="2"/>
  <c r="O113" i="2" s="1"/>
  <c r="N109" i="2"/>
  <c r="O109" i="2" s="1"/>
  <c r="N104" i="2"/>
  <c r="O104" i="2" s="1"/>
  <c r="N100" i="2"/>
  <c r="O100" i="2" s="1"/>
  <c r="N96" i="2"/>
  <c r="O96" i="2" s="1"/>
  <c r="N91" i="2"/>
  <c r="O91" i="2" s="1"/>
  <c r="N87" i="2"/>
  <c r="O87" i="2" s="1"/>
  <c r="N83" i="2"/>
  <c r="O83" i="2" s="1"/>
  <c r="N78" i="2"/>
  <c r="O78" i="2" s="1"/>
  <c r="N74" i="2"/>
  <c r="O74" i="2" s="1"/>
  <c r="N70" i="2"/>
  <c r="O70" i="2" s="1"/>
  <c r="N65" i="2"/>
  <c r="O65" i="2" s="1"/>
  <c r="N61" i="2"/>
  <c r="O61" i="2" s="1"/>
  <c r="N57" i="2"/>
  <c r="O57" i="2" s="1"/>
  <c r="N52" i="2"/>
  <c r="O52" i="2" s="1"/>
  <c r="N48" i="2"/>
  <c r="O48" i="2" s="1"/>
  <c r="N44" i="2"/>
  <c r="O44" i="2" s="1"/>
  <c r="N39" i="2"/>
  <c r="O39" i="2" s="1"/>
  <c r="N35" i="2"/>
  <c r="O35" i="2" s="1"/>
  <c r="N31" i="2"/>
  <c r="O31" i="2" s="1"/>
  <c r="N26" i="2"/>
  <c r="O26" i="2" s="1"/>
  <c r="N22" i="2"/>
  <c r="O22" i="2" s="1"/>
  <c r="N18" i="2"/>
  <c r="O18" i="2" s="1"/>
  <c r="N13" i="2"/>
  <c r="O13" i="2" s="1"/>
  <c r="N9" i="2"/>
  <c r="O9" i="2" s="1"/>
  <c r="N5" i="2"/>
  <c r="O5" i="2" s="1"/>
  <c r="N390" i="2"/>
  <c r="O390" i="2" s="1"/>
  <c r="N382" i="2"/>
  <c r="O382" i="2" s="1"/>
  <c r="N373" i="2"/>
  <c r="O373" i="2" s="1"/>
  <c r="N364" i="2"/>
  <c r="O364" i="2" s="1"/>
  <c r="N356" i="2"/>
  <c r="O356" i="2" s="1"/>
  <c r="N347" i="2"/>
  <c r="O347" i="2" s="1"/>
  <c r="N338" i="2"/>
  <c r="O338" i="2" s="1"/>
  <c r="N330" i="2"/>
  <c r="O330" i="2" s="1"/>
  <c r="N321" i="2"/>
  <c r="O321" i="2" s="1"/>
  <c r="N312" i="2"/>
  <c r="O312" i="2" s="1"/>
  <c r="N304" i="2"/>
  <c r="O304" i="2" s="1"/>
  <c r="N295" i="2"/>
  <c r="O295" i="2" s="1"/>
  <c r="O286" i="2"/>
  <c r="N278" i="2"/>
  <c r="O278" i="2" s="1"/>
  <c r="O269" i="2"/>
  <c r="N260" i="2"/>
  <c r="O260" i="2" s="1"/>
  <c r="O252" i="2"/>
  <c r="N243" i="2"/>
  <c r="O243" i="2" s="1"/>
  <c r="O234" i="2"/>
  <c r="N226" i="2"/>
  <c r="O226" i="2" s="1"/>
  <c r="O217" i="2"/>
  <c r="O208" i="2"/>
  <c r="O200" i="2"/>
  <c r="O191" i="2"/>
  <c r="O182" i="2"/>
  <c r="O165" i="2"/>
  <c r="O156" i="2"/>
  <c r="O148" i="2"/>
  <c r="O139" i="2"/>
  <c r="O129" i="2"/>
  <c r="O121" i="2"/>
  <c r="N112" i="2"/>
  <c r="O112" i="2" s="1"/>
  <c r="O95" i="2"/>
  <c r="N95" i="2"/>
  <c r="N86" i="2"/>
  <c r="O86" i="2" s="1"/>
  <c r="N77" i="2"/>
  <c r="O77" i="2" s="1"/>
  <c r="N69" i="2"/>
  <c r="O69" i="2" s="1"/>
  <c r="N60" i="2"/>
  <c r="O60" i="2" s="1"/>
  <c r="N51" i="2"/>
  <c r="O51" i="2" s="1"/>
  <c r="O43" i="2"/>
  <c r="N43" i="2"/>
  <c r="N25" i="2"/>
  <c r="O25" i="2" s="1"/>
  <c r="N17" i="2"/>
  <c r="O17" i="2" s="1"/>
  <c r="N8" i="2"/>
  <c r="O8" i="2" s="1"/>
  <c r="N385" i="2"/>
  <c r="O385" i="2" s="1"/>
  <c r="N376" i="2"/>
  <c r="O376" i="2" s="1"/>
  <c r="N368" i="2"/>
  <c r="O368" i="2" s="1"/>
  <c r="N359" i="2"/>
  <c r="O359" i="2" s="1"/>
  <c r="N350" i="2"/>
  <c r="O350" i="2" s="1"/>
  <c r="N342" i="2"/>
  <c r="N333" i="2"/>
  <c r="O333" i="2" s="1"/>
  <c r="N324" i="2"/>
  <c r="O324" i="2" s="1"/>
  <c r="N316" i="2"/>
  <c r="O316" i="2" s="1"/>
  <c r="N307" i="2"/>
  <c r="O307" i="2" s="1"/>
  <c r="N298" i="2"/>
  <c r="O298" i="2" s="1"/>
  <c r="N287" i="2"/>
  <c r="O287" i="2" s="1"/>
  <c r="N253" i="2"/>
  <c r="O253" i="2" s="1"/>
  <c r="N218" i="2"/>
  <c r="O218" i="2" s="1"/>
  <c r="N203" i="2"/>
  <c r="O203" i="2" s="1"/>
  <c r="N186" i="2"/>
  <c r="O186" i="2" s="1"/>
  <c r="N168" i="2"/>
  <c r="O168" i="2" s="1"/>
  <c r="N151" i="2"/>
  <c r="O151" i="2" s="1"/>
  <c r="K145" i="2"/>
  <c r="N138" i="2"/>
  <c r="N323" i="3"/>
  <c r="O323" i="3" s="1"/>
  <c r="H34" i="3"/>
  <c r="H21" i="3"/>
  <c r="H362" i="3"/>
  <c r="H358" i="3"/>
  <c r="H354" i="3"/>
  <c r="H350" i="3"/>
  <c r="H342" i="3"/>
  <c r="H338" i="3"/>
  <c r="H334" i="3"/>
  <c r="H330" i="3"/>
  <c r="H326" i="3"/>
  <c r="H322" i="3"/>
  <c r="H318" i="3"/>
  <c r="H310" i="3"/>
  <c r="H306" i="3"/>
  <c r="H302" i="3"/>
  <c r="H298" i="3"/>
  <c r="H294" i="3"/>
  <c r="H63" i="3"/>
  <c r="H59" i="3"/>
  <c r="H55" i="3"/>
  <c r="H50" i="3"/>
  <c r="H46" i="3"/>
  <c r="H42" i="3"/>
  <c r="H33" i="3"/>
  <c r="H24" i="3"/>
  <c r="H16" i="3"/>
  <c r="H38" i="3"/>
  <c r="H30" i="3"/>
  <c r="H25" i="3"/>
  <c r="H17" i="3"/>
  <c r="H62" i="3"/>
  <c r="H58" i="3"/>
  <c r="H53" i="3"/>
  <c r="H49" i="3"/>
  <c r="H45" i="3"/>
  <c r="H352" i="3"/>
  <c r="H336" i="3"/>
  <c r="H320" i="3"/>
  <c r="H304" i="3"/>
  <c r="H272" i="3"/>
  <c r="H365" i="3"/>
  <c r="H361" i="3"/>
  <c r="H357" i="3"/>
  <c r="H349" i="3"/>
  <c r="H345" i="3"/>
  <c r="H341" i="3"/>
  <c r="H337" i="3"/>
  <c r="H333" i="3"/>
  <c r="H329" i="3"/>
  <c r="H325" i="3"/>
  <c r="H321" i="3"/>
  <c r="H317" i="3"/>
  <c r="H313" i="3"/>
  <c r="H309" i="3"/>
  <c r="H305" i="3"/>
  <c r="H297" i="3"/>
  <c r="H293" i="3"/>
  <c r="H289" i="3"/>
  <c r="H285" i="3"/>
  <c r="H281" i="3"/>
  <c r="H277" i="3"/>
  <c r="H273" i="3"/>
  <c r="H269" i="3"/>
  <c r="H265" i="3"/>
  <c r="H261" i="3"/>
  <c r="H257" i="3"/>
  <c r="H253" i="3"/>
  <c r="H245" i="3"/>
  <c r="H241" i="3"/>
  <c r="H237" i="3"/>
  <c r="H233" i="3"/>
  <c r="H229" i="3"/>
  <c r="H225" i="3"/>
  <c r="H221" i="3"/>
  <c r="H217" i="3"/>
  <c r="H213" i="3"/>
  <c r="H209" i="3"/>
  <c r="H205" i="3"/>
  <c r="H201" i="3"/>
  <c r="H193" i="3"/>
  <c r="H189" i="3"/>
  <c r="H185" i="3"/>
  <c r="H181" i="3"/>
  <c r="H177" i="3"/>
  <c r="H173" i="3"/>
  <c r="H169" i="3"/>
  <c r="H165" i="3"/>
  <c r="H161" i="3"/>
  <c r="H157" i="3"/>
  <c r="H153" i="3"/>
  <c r="H149" i="3"/>
  <c r="H141" i="3"/>
  <c r="H137" i="3"/>
  <c r="H133" i="3"/>
  <c r="H129" i="3"/>
  <c r="H125" i="3"/>
  <c r="H121" i="3"/>
  <c r="H117" i="3"/>
  <c r="H113" i="3"/>
  <c r="H109" i="3"/>
  <c r="H104" i="3"/>
  <c r="H100" i="3"/>
  <c r="H96" i="3"/>
  <c r="H91" i="3"/>
  <c r="H87" i="3"/>
  <c r="H364" i="3"/>
  <c r="H360" i="3"/>
  <c r="H356" i="3"/>
  <c r="H348" i="3"/>
  <c r="H344" i="3"/>
  <c r="H332" i="3"/>
  <c r="H328" i="3"/>
  <c r="H324" i="3"/>
  <c r="H316" i="3"/>
  <c r="H312" i="3"/>
  <c r="H308" i="3"/>
  <c r="H300" i="3"/>
  <c r="H296" i="3"/>
  <c r="H292" i="3"/>
  <c r="H284" i="3"/>
  <c r="H276" i="3"/>
  <c r="H268" i="3"/>
  <c r="H260" i="3"/>
  <c r="H244" i="3"/>
  <c r="H68" i="3"/>
  <c r="N82" i="3"/>
  <c r="O82" i="3" s="1"/>
  <c r="K15" i="3"/>
  <c r="N3" i="3"/>
  <c r="O3" i="3" s="1"/>
  <c r="N362" i="3"/>
  <c r="O362" i="3" s="1"/>
  <c r="N358" i="3"/>
  <c r="O358" i="3" s="1"/>
  <c r="N354" i="3"/>
  <c r="N350" i="3"/>
  <c r="O350" i="3" s="1"/>
  <c r="N346" i="3"/>
  <c r="O346" i="3" s="1"/>
  <c r="N342" i="3"/>
  <c r="O342" i="3" s="1"/>
  <c r="N338" i="3"/>
  <c r="O338" i="3" s="1"/>
  <c r="N334" i="3"/>
  <c r="O334" i="3" s="1"/>
  <c r="N330" i="3"/>
  <c r="O330" i="3" s="1"/>
  <c r="N326" i="3"/>
  <c r="O326" i="3" s="1"/>
  <c r="N322" i="3"/>
  <c r="O322" i="3" s="1"/>
  <c r="N318" i="3"/>
  <c r="O318" i="3" s="1"/>
  <c r="N310" i="3"/>
  <c r="O310" i="3" s="1"/>
  <c r="N306" i="3"/>
  <c r="O306" i="3" s="1"/>
  <c r="N302" i="3"/>
  <c r="N298" i="3"/>
  <c r="O298" i="3" s="1"/>
  <c r="N294" i="3"/>
  <c r="O294" i="3" s="1"/>
  <c r="N290" i="3"/>
  <c r="O290" i="3" s="1"/>
  <c r="N286" i="3"/>
  <c r="O286" i="3" s="1"/>
  <c r="N282" i="3"/>
  <c r="O282" i="3" s="1"/>
  <c r="N278" i="3"/>
  <c r="O278" i="3" s="1"/>
  <c r="N274" i="3"/>
  <c r="O274" i="3" s="1"/>
  <c r="N270" i="3"/>
  <c r="O270" i="3" s="1"/>
  <c r="N266" i="3"/>
  <c r="O266" i="3" s="1"/>
  <c r="N258" i="3"/>
  <c r="O258" i="3" s="1"/>
  <c r="N254" i="3"/>
  <c r="O254" i="3" s="1"/>
  <c r="N250" i="3"/>
  <c r="N246" i="3"/>
  <c r="O246" i="3" s="1"/>
  <c r="N242" i="3"/>
  <c r="O242" i="3" s="1"/>
  <c r="N238" i="3"/>
  <c r="O238" i="3" s="1"/>
  <c r="N234" i="3"/>
  <c r="O234" i="3" s="1"/>
  <c r="N230" i="3"/>
  <c r="O230" i="3" s="1"/>
  <c r="N226" i="3"/>
  <c r="O226" i="3" s="1"/>
  <c r="N222" i="3"/>
  <c r="O222" i="3" s="1"/>
  <c r="N218" i="3"/>
  <c r="O218" i="3" s="1"/>
  <c r="N214" i="3"/>
  <c r="O214" i="3" s="1"/>
  <c r="N206" i="3"/>
  <c r="O206" i="3" s="1"/>
  <c r="N202" i="3"/>
  <c r="O202" i="3" s="1"/>
  <c r="N198" i="3"/>
  <c r="N194" i="3"/>
  <c r="O194" i="3" s="1"/>
  <c r="N190" i="3"/>
  <c r="O190" i="3" s="1"/>
  <c r="N186" i="3"/>
  <c r="O186" i="3" s="1"/>
  <c r="N182" i="3"/>
  <c r="O182" i="3" s="1"/>
  <c r="N178" i="3"/>
  <c r="O178" i="3" s="1"/>
  <c r="N174" i="3"/>
  <c r="O174" i="3" s="1"/>
  <c r="N170" i="3"/>
  <c r="O170" i="3" s="1"/>
  <c r="N166" i="3"/>
  <c r="O166" i="3" s="1"/>
  <c r="N162" i="3"/>
  <c r="O162" i="3" s="1"/>
  <c r="N154" i="3"/>
  <c r="O154" i="3" s="1"/>
  <c r="N150" i="3"/>
  <c r="O150" i="3" s="1"/>
  <c r="N146" i="3"/>
  <c r="N142" i="3"/>
  <c r="O142" i="3" s="1"/>
  <c r="N138" i="3"/>
  <c r="O138" i="3" s="1"/>
  <c r="N134" i="3"/>
  <c r="O134" i="3" s="1"/>
  <c r="N130" i="3"/>
  <c r="O130" i="3" s="1"/>
  <c r="N126" i="3"/>
  <c r="O126" i="3" s="1"/>
  <c r="N122" i="3"/>
  <c r="O122" i="3" s="1"/>
  <c r="N118" i="3"/>
  <c r="O118" i="3" s="1"/>
  <c r="N114" i="3"/>
  <c r="O114" i="3" s="1"/>
  <c r="N110" i="3"/>
  <c r="O110" i="3" s="1"/>
  <c r="N105" i="3"/>
  <c r="O105" i="3" s="1"/>
  <c r="O101" i="3"/>
  <c r="N101" i="3"/>
  <c r="N97" i="3"/>
  <c r="O97" i="3" s="1"/>
  <c r="N92" i="3"/>
  <c r="O92" i="3" s="1"/>
  <c r="N88" i="3"/>
  <c r="O88" i="3" s="1"/>
  <c r="N84" i="3"/>
  <c r="O84" i="3" s="1"/>
  <c r="N75" i="3"/>
  <c r="O75" i="3" s="1"/>
  <c r="N71" i="3"/>
  <c r="O71" i="3" s="1"/>
  <c r="N66" i="3"/>
  <c r="O66" i="3" s="1"/>
  <c r="N62" i="3"/>
  <c r="O62" i="3" s="1"/>
  <c r="N58" i="3"/>
  <c r="O58" i="3" s="1"/>
  <c r="N53" i="3"/>
  <c r="O53" i="3" s="1"/>
  <c r="N49" i="3"/>
  <c r="O49" i="3" s="1"/>
  <c r="N45" i="3"/>
  <c r="O45" i="3" s="1"/>
  <c r="N40" i="3"/>
  <c r="O40" i="3" s="1"/>
  <c r="N36" i="3"/>
  <c r="O36" i="3" s="1"/>
  <c r="N32" i="3"/>
  <c r="O32" i="3" s="1"/>
  <c r="N27" i="3"/>
  <c r="O27" i="3" s="1"/>
  <c r="N23" i="3"/>
  <c r="O23" i="3" s="1"/>
  <c r="O19" i="3"/>
  <c r="N19" i="3"/>
  <c r="N14" i="3"/>
  <c r="O14" i="3" s="1"/>
  <c r="N10" i="3"/>
  <c r="O10" i="3" s="1"/>
  <c r="N6" i="3"/>
  <c r="O6" i="3" s="1"/>
  <c r="N365" i="3"/>
  <c r="O365" i="3" s="1"/>
  <c r="N357" i="3"/>
  <c r="O357" i="3" s="1"/>
  <c r="N349" i="3"/>
  <c r="O349" i="3" s="1"/>
  <c r="N341" i="3"/>
  <c r="N333" i="3"/>
  <c r="O333" i="3" s="1"/>
  <c r="N325" i="3"/>
  <c r="O325" i="3" s="1"/>
  <c r="N317" i="3"/>
  <c r="O317" i="3" s="1"/>
  <c r="N309" i="3"/>
  <c r="O309" i="3" s="1"/>
  <c r="N293" i="3"/>
  <c r="O293" i="3" s="1"/>
  <c r="N285" i="3"/>
  <c r="O285" i="3" s="1"/>
  <c r="N277" i="3"/>
  <c r="O277" i="3" s="1"/>
  <c r="N269" i="3"/>
  <c r="O269" i="3" s="1"/>
  <c r="N261" i="3"/>
  <c r="O261" i="3" s="1"/>
  <c r="N253" i="3"/>
  <c r="O253" i="3" s="1"/>
  <c r="N245" i="3"/>
  <c r="O245" i="3" s="1"/>
  <c r="N237" i="3"/>
  <c r="N229" i="3"/>
  <c r="O229" i="3" s="1"/>
  <c r="N221" i="3"/>
  <c r="O221" i="3" s="1"/>
  <c r="N213" i="3"/>
  <c r="O213" i="3" s="1"/>
  <c r="N205" i="3"/>
  <c r="O205" i="3" s="1"/>
  <c r="N189" i="3"/>
  <c r="O189" i="3" s="1"/>
  <c r="N181" i="3"/>
  <c r="O181" i="3" s="1"/>
  <c r="N173" i="3"/>
  <c r="O173" i="3" s="1"/>
  <c r="N165" i="3"/>
  <c r="O165" i="3" s="1"/>
  <c r="N157" i="3"/>
  <c r="O157" i="3" s="1"/>
  <c r="N149" i="3"/>
  <c r="O149" i="3" s="1"/>
  <c r="N141" i="3"/>
  <c r="O141" i="3" s="1"/>
  <c r="N133" i="3"/>
  <c r="O133" i="3" s="1"/>
  <c r="N125" i="3"/>
  <c r="O125" i="3" s="1"/>
  <c r="N117" i="3"/>
  <c r="O117" i="3" s="1"/>
  <c r="N109" i="3"/>
  <c r="O109" i="3" s="1"/>
  <c r="N100" i="3"/>
  <c r="O100" i="3" s="1"/>
  <c r="N91" i="3"/>
  <c r="O91" i="3" s="1"/>
  <c r="N72" i="3"/>
  <c r="O72" i="3" s="1"/>
  <c r="N364" i="3"/>
  <c r="O364" i="3" s="1"/>
  <c r="N356" i="3"/>
  <c r="O356" i="3" s="1"/>
  <c r="N352" i="3"/>
  <c r="O352" i="3" s="1"/>
  <c r="N348" i="3"/>
  <c r="O348" i="3" s="1"/>
  <c r="N344" i="3"/>
  <c r="O344" i="3" s="1"/>
  <c r="N336" i="3"/>
  <c r="O336" i="3" s="1"/>
  <c r="N332" i="3"/>
  <c r="O332" i="3" s="1"/>
  <c r="N328" i="3"/>
  <c r="N324" i="3"/>
  <c r="O324" i="3" s="1"/>
  <c r="N320" i="3"/>
  <c r="O320" i="3" s="1"/>
  <c r="N316" i="3"/>
  <c r="O316" i="3" s="1"/>
  <c r="N312" i="3"/>
  <c r="O312" i="3" s="1"/>
  <c r="N308" i="3"/>
  <c r="O308" i="3" s="1"/>
  <c r="N304" i="3"/>
  <c r="O304" i="3" s="1"/>
  <c r="N300" i="3"/>
  <c r="O300" i="3" s="1"/>
  <c r="N296" i="3"/>
  <c r="O296" i="3" s="1"/>
  <c r="N292" i="3"/>
  <c r="O292" i="3" s="1"/>
  <c r="N284" i="3"/>
  <c r="O284" i="3" s="1"/>
  <c r="N280" i="3"/>
  <c r="O280" i="3" s="1"/>
  <c r="N276" i="3"/>
  <c r="N272" i="3"/>
  <c r="O272" i="3" s="1"/>
  <c r="N268" i="3"/>
  <c r="O268" i="3" s="1"/>
  <c r="N264" i="3"/>
  <c r="O264" i="3" s="1"/>
  <c r="N260" i="3"/>
  <c r="O260" i="3" s="1"/>
  <c r="N256" i="3"/>
  <c r="O256" i="3" s="1"/>
  <c r="N252" i="3"/>
  <c r="O252" i="3" s="1"/>
  <c r="N248" i="3"/>
  <c r="O248" i="3" s="1"/>
  <c r="N244" i="3"/>
  <c r="O244" i="3" s="1"/>
  <c r="N240" i="3"/>
  <c r="O240" i="3" s="1"/>
  <c r="N232" i="3"/>
  <c r="O232" i="3" s="1"/>
  <c r="N228" i="3"/>
  <c r="O228" i="3" s="1"/>
  <c r="N224" i="3"/>
  <c r="N220" i="3"/>
  <c r="O220" i="3" s="1"/>
  <c r="N216" i="3"/>
  <c r="O216" i="3" s="1"/>
  <c r="N212" i="3"/>
  <c r="O212" i="3" s="1"/>
  <c r="N208" i="3"/>
  <c r="O208" i="3" s="1"/>
  <c r="N204" i="3"/>
  <c r="O204" i="3" s="1"/>
  <c r="N200" i="3"/>
  <c r="O200" i="3" s="1"/>
  <c r="N196" i="3"/>
  <c r="O196" i="3" s="1"/>
  <c r="N192" i="3"/>
  <c r="O192" i="3" s="1"/>
  <c r="N188" i="3"/>
  <c r="O188" i="3" s="1"/>
  <c r="N180" i="3"/>
  <c r="O180" i="3" s="1"/>
  <c r="N176" i="3"/>
  <c r="O176" i="3" s="1"/>
  <c r="N172" i="3"/>
  <c r="N168" i="3"/>
  <c r="O168" i="3" s="1"/>
  <c r="N164" i="3"/>
  <c r="O164" i="3" s="1"/>
  <c r="N160" i="3"/>
  <c r="O160" i="3" s="1"/>
  <c r="N156" i="3"/>
  <c r="O156" i="3" s="1"/>
  <c r="N152" i="3"/>
  <c r="O152" i="3" s="1"/>
  <c r="N148" i="3"/>
  <c r="O148" i="3" s="1"/>
  <c r="N144" i="3"/>
  <c r="O144" i="3" s="1"/>
  <c r="N140" i="3"/>
  <c r="O140" i="3" s="1"/>
  <c r="N136" i="3"/>
  <c r="O136" i="3" s="1"/>
  <c r="N128" i="3"/>
  <c r="O128" i="3" s="1"/>
  <c r="N124" i="3"/>
  <c r="O124" i="3" s="1"/>
  <c r="N120" i="3"/>
  <c r="O120" i="3" s="1"/>
  <c r="N116" i="3"/>
  <c r="O116" i="3" s="1"/>
  <c r="N112" i="3"/>
  <c r="O112" i="3" s="1"/>
  <c r="N108" i="3"/>
  <c r="O108" i="3" s="1"/>
  <c r="N103" i="3"/>
  <c r="O103" i="3" s="1"/>
  <c r="N99" i="3"/>
  <c r="O99" i="3" s="1"/>
  <c r="N95" i="3"/>
  <c r="O95" i="3" s="1"/>
  <c r="N90" i="3"/>
  <c r="O90" i="3" s="1"/>
  <c r="O86" i="3"/>
  <c r="N86" i="3"/>
  <c r="N77" i="3"/>
  <c r="O77" i="3" s="1"/>
  <c r="N73" i="3"/>
  <c r="O73" i="3" s="1"/>
  <c r="N69" i="3"/>
  <c r="O69" i="3" s="1"/>
  <c r="N64" i="3"/>
  <c r="O64" i="3" s="1"/>
  <c r="N60" i="3"/>
  <c r="O60" i="3" s="1"/>
  <c r="N56" i="3"/>
  <c r="O56" i="3" s="1"/>
  <c r="N51" i="3"/>
  <c r="O51" i="3" s="1"/>
  <c r="N47" i="3"/>
  <c r="O47" i="3" s="1"/>
  <c r="N43" i="3"/>
  <c r="O43" i="3" s="1"/>
  <c r="N38" i="3"/>
  <c r="O38" i="3" s="1"/>
  <c r="N34" i="3"/>
  <c r="O34" i="3" s="1"/>
  <c r="N30" i="3"/>
  <c r="O30" i="3" s="1"/>
  <c r="N25" i="3"/>
  <c r="O25" i="3" s="1"/>
  <c r="N21" i="3"/>
  <c r="O21" i="3" s="1"/>
  <c r="N17" i="3"/>
  <c r="O17" i="3" s="1"/>
  <c r="N12" i="3"/>
  <c r="O12" i="3" s="1"/>
  <c r="N8" i="3"/>
  <c r="O8" i="3" s="1"/>
  <c r="N4" i="3"/>
  <c r="O4" i="3" s="1"/>
  <c r="H228" i="3"/>
  <c r="H224" i="3"/>
  <c r="H216" i="3"/>
  <c r="H200" i="3"/>
  <c r="H192" i="3"/>
  <c r="H168" i="3"/>
  <c r="H160" i="3"/>
  <c r="H152" i="3"/>
  <c r="H136" i="3"/>
  <c r="H128" i="3"/>
  <c r="H120" i="3"/>
  <c r="H103" i="3"/>
  <c r="H95" i="3"/>
  <c r="H86" i="3"/>
  <c r="N360" i="3"/>
  <c r="O360" i="3" s="1"/>
  <c r="H15" i="3"/>
  <c r="N81" i="3"/>
  <c r="O81" i="3" s="1"/>
  <c r="N361" i="3"/>
  <c r="O361" i="3" s="1"/>
  <c r="N345" i="3"/>
  <c r="O345" i="3" s="1"/>
  <c r="N337" i="3"/>
  <c r="O337" i="3" s="1"/>
  <c r="N329" i="3"/>
  <c r="O329" i="3" s="1"/>
  <c r="N321" i="3"/>
  <c r="O321" i="3" s="1"/>
  <c r="N313" i="3"/>
  <c r="O313" i="3" s="1"/>
  <c r="N305" i="3"/>
  <c r="O305" i="3" s="1"/>
  <c r="N297" i="3"/>
  <c r="O297" i="3" s="1"/>
  <c r="N289" i="3"/>
  <c r="N281" i="3"/>
  <c r="O281" i="3" s="1"/>
  <c r="O273" i="3"/>
  <c r="N273" i="3"/>
  <c r="N265" i="3"/>
  <c r="O265" i="3" s="1"/>
  <c r="N257" i="3"/>
  <c r="O257" i="3" s="1"/>
  <c r="N241" i="3"/>
  <c r="O241" i="3" s="1"/>
  <c r="N233" i="3"/>
  <c r="O233" i="3" s="1"/>
  <c r="N225" i="3"/>
  <c r="O225" i="3" s="1"/>
  <c r="N217" i="3"/>
  <c r="O217" i="3" s="1"/>
  <c r="O209" i="3"/>
  <c r="N209" i="3"/>
  <c r="N201" i="3"/>
  <c r="O201" i="3" s="1"/>
  <c r="N193" i="3"/>
  <c r="O193" i="3" s="1"/>
  <c r="N185" i="3"/>
  <c r="N177" i="3"/>
  <c r="O177" i="3" s="1"/>
  <c r="N169" i="3"/>
  <c r="O169" i="3" s="1"/>
  <c r="N161" i="3"/>
  <c r="O161" i="3" s="1"/>
  <c r="N153" i="3"/>
  <c r="O153" i="3" s="1"/>
  <c r="N137" i="3"/>
  <c r="O137" i="3" s="1"/>
  <c r="N129" i="3"/>
  <c r="O129" i="3" s="1"/>
  <c r="N121" i="3"/>
  <c r="O121" i="3" s="1"/>
  <c r="N113" i="3"/>
  <c r="O113" i="3" s="1"/>
  <c r="N104" i="3"/>
  <c r="O104" i="3" s="1"/>
  <c r="N96" i="3"/>
  <c r="O96" i="3" s="1"/>
  <c r="N87" i="3"/>
  <c r="O87" i="3" s="1"/>
  <c r="O76" i="3"/>
  <c r="N76" i="3"/>
  <c r="N59" i="3"/>
  <c r="O59" i="3" s="1"/>
  <c r="H283" i="3"/>
  <c r="H271" i="3"/>
  <c r="H255" i="3"/>
  <c r="H247" i="3"/>
  <c r="H239" i="3"/>
  <c r="N63" i="3"/>
  <c r="O63" i="3" s="1"/>
  <c r="N20" i="3"/>
  <c r="O20" i="3" s="1"/>
  <c r="N11" i="3"/>
  <c r="O11" i="3" s="1"/>
  <c r="H39" i="3"/>
  <c r="H35" i="3"/>
  <c r="H31" i="3"/>
  <c r="H26" i="3"/>
  <c r="H22" i="3"/>
  <c r="H18" i="3"/>
  <c r="H280" i="3"/>
  <c r="H264" i="3"/>
  <c r="H256" i="3"/>
  <c r="H248" i="3"/>
  <c r="H240" i="3"/>
  <c r="H232" i="3"/>
  <c r="H220" i="3"/>
  <c r="H212" i="3"/>
  <c r="H204" i="3"/>
  <c r="H196" i="3"/>
  <c r="H188" i="3"/>
  <c r="H180" i="3"/>
  <c r="H172" i="3"/>
  <c r="H164" i="3"/>
  <c r="H156" i="3"/>
  <c r="H148" i="3"/>
  <c r="H140" i="3"/>
  <c r="H124" i="3"/>
  <c r="H116" i="3"/>
  <c r="H108" i="3"/>
  <c r="H99" i="3"/>
  <c r="H90" i="3"/>
  <c r="H82" i="3"/>
  <c r="H77" i="3"/>
  <c r="H73" i="3"/>
  <c r="H69" i="3"/>
  <c r="K80" i="3"/>
  <c r="N68" i="3"/>
  <c r="O68" i="3" s="1"/>
  <c r="K67" i="3"/>
  <c r="N55" i="3"/>
  <c r="N50" i="3"/>
  <c r="O50" i="3" s="1"/>
  <c r="N46" i="3"/>
  <c r="O46" i="3" s="1"/>
  <c r="K54" i="3"/>
  <c r="N42" i="3"/>
  <c r="N37" i="3"/>
  <c r="O37" i="3" s="1"/>
  <c r="N33" i="3"/>
  <c r="O33" i="3" s="1"/>
  <c r="K41" i="3"/>
  <c r="N29" i="3"/>
  <c r="O29" i="3" s="1"/>
  <c r="N24" i="3"/>
  <c r="O24" i="3" s="1"/>
  <c r="K28" i="3"/>
  <c r="N16" i="3"/>
  <c r="N7" i="3"/>
  <c r="O7" i="3" s="1"/>
  <c r="H64" i="3"/>
  <c r="H60" i="3"/>
  <c r="H56" i="3"/>
  <c r="H51" i="3"/>
  <c r="H47" i="3"/>
  <c r="H43" i="3"/>
  <c r="N79" i="3"/>
  <c r="O79" i="3" s="1"/>
  <c r="N363" i="3"/>
  <c r="O363" i="3" s="1"/>
  <c r="N359" i="3"/>
  <c r="O359" i="3" s="1"/>
  <c r="N355" i="3"/>
  <c r="O355" i="3" s="1"/>
  <c r="N351" i="3"/>
  <c r="O351" i="3" s="1"/>
  <c r="N347" i="3"/>
  <c r="O347" i="3" s="1"/>
  <c r="N343" i="3"/>
  <c r="O343" i="3" s="1"/>
  <c r="N339" i="3"/>
  <c r="O339" i="3" s="1"/>
  <c r="N335" i="3"/>
  <c r="O335" i="3" s="1"/>
  <c r="N331" i="3"/>
  <c r="O331" i="3" s="1"/>
  <c r="N319" i="3"/>
  <c r="O319" i="3" s="1"/>
  <c r="N315" i="3"/>
  <c r="N311" i="3"/>
  <c r="O311" i="3" s="1"/>
  <c r="N307" i="3"/>
  <c r="O307" i="3" s="1"/>
  <c r="N303" i="3"/>
  <c r="O303" i="3" s="1"/>
  <c r="N299" i="3"/>
  <c r="O299" i="3" s="1"/>
  <c r="N295" i="3"/>
  <c r="O295" i="3" s="1"/>
  <c r="N291" i="3"/>
  <c r="O291" i="3" s="1"/>
  <c r="N287" i="3"/>
  <c r="O287" i="3" s="1"/>
  <c r="N283" i="3"/>
  <c r="O283" i="3" s="1"/>
  <c r="N279" i="3"/>
  <c r="O279" i="3" s="1"/>
  <c r="N271" i="3"/>
  <c r="O271" i="3" s="1"/>
  <c r="N267" i="3"/>
  <c r="O267" i="3" s="1"/>
  <c r="N263" i="3"/>
  <c r="N259" i="3"/>
  <c r="O259" i="3" s="1"/>
  <c r="N255" i="3"/>
  <c r="O255" i="3" s="1"/>
  <c r="N251" i="3"/>
  <c r="O251" i="3" s="1"/>
  <c r="N247" i="3"/>
  <c r="O247" i="3" s="1"/>
  <c r="N243" i="3"/>
  <c r="O243" i="3" s="1"/>
  <c r="N239" i="3"/>
  <c r="O239" i="3" s="1"/>
  <c r="N235" i="3"/>
  <c r="O235" i="3" s="1"/>
  <c r="N231" i="3"/>
  <c r="O231" i="3" s="1"/>
  <c r="N227" i="3"/>
  <c r="O227" i="3" s="1"/>
  <c r="N219" i="3"/>
  <c r="O219" i="3" s="1"/>
  <c r="N215" i="3"/>
  <c r="O215" i="3" s="1"/>
  <c r="N211" i="3"/>
  <c r="N207" i="3"/>
  <c r="O207" i="3" s="1"/>
  <c r="N203" i="3"/>
  <c r="O203" i="3" s="1"/>
  <c r="N199" i="3"/>
  <c r="O199" i="3" s="1"/>
  <c r="N195" i="3"/>
  <c r="O195" i="3" s="1"/>
  <c r="N191" i="3"/>
  <c r="O191" i="3" s="1"/>
  <c r="N187" i="3"/>
  <c r="O187" i="3" s="1"/>
  <c r="N183" i="3"/>
  <c r="O183" i="3" s="1"/>
  <c r="N179" i="3"/>
  <c r="O179" i="3" s="1"/>
  <c r="N175" i="3"/>
  <c r="O175" i="3" s="1"/>
  <c r="N167" i="3"/>
  <c r="O167" i="3" s="1"/>
  <c r="N163" i="3"/>
  <c r="O163" i="3" s="1"/>
  <c r="N159" i="3"/>
  <c r="N155" i="3"/>
  <c r="O155" i="3" s="1"/>
  <c r="N151" i="3"/>
  <c r="O151" i="3" s="1"/>
  <c r="N147" i="3"/>
  <c r="O147" i="3" s="1"/>
  <c r="N143" i="3"/>
  <c r="O143" i="3" s="1"/>
  <c r="N139" i="3"/>
  <c r="O139" i="3" s="1"/>
  <c r="N135" i="3"/>
  <c r="O135" i="3" s="1"/>
  <c r="N131" i="3"/>
  <c r="O131" i="3" s="1"/>
  <c r="N123" i="3"/>
  <c r="O123" i="3" s="1"/>
  <c r="N115" i="3"/>
  <c r="O115" i="3" s="1"/>
  <c r="N111" i="3"/>
  <c r="O111" i="3" s="1"/>
  <c r="N107" i="3"/>
  <c r="N102" i="3"/>
  <c r="O102" i="3" s="1"/>
  <c r="N98" i="3"/>
  <c r="O98" i="3" s="1"/>
  <c r="N94" i="3"/>
  <c r="N89" i="3"/>
  <c r="O89" i="3" s="1"/>
  <c r="N85" i="3"/>
  <c r="O85" i="3" s="1"/>
  <c r="O78" i="3"/>
  <c r="N74" i="3"/>
  <c r="O74" i="3" s="1"/>
  <c r="N70" i="3"/>
  <c r="O70" i="3" s="1"/>
  <c r="N65" i="3"/>
  <c r="O65" i="3" s="1"/>
  <c r="N57" i="3"/>
  <c r="O57" i="3" s="1"/>
  <c r="N52" i="3"/>
  <c r="O52" i="3" s="1"/>
  <c r="N48" i="3"/>
  <c r="O48" i="3" s="1"/>
  <c r="N39" i="3"/>
  <c r="O39" i="3" s="1"/>
  <c r="N35" i="3"/>
  <c r="O35" i="3" s="1"/>
  <c r="N31" i="3"/>
  <c r="O31" i="3" s="1"/>
  <c r="O26" i="3"/>
  <c r="N22" i="3"/>
  <c r="O22" i="3" s="1"/>
  <c r="N18" i="3"/>
  <c r="O18" i="3" s="1"/>
  <c r="N13" i="3"/>
  <c r="O13" i="3" s="1"/>
  <c r="O9" i="3"/>
  <c r="N5" i="3"/>
  <c r="O5" i="3" s="1"/>
  <c r="H363" i="3"/>
  <c r="H359" i="3"/>
  <c r="H355" i="3"/>
  <c r="H351" i="3"/>
  <c r="H347" i="3"/>
  <c r="H343" i="3"/>
  <c r="H339" i="3"/>
  <c r="H335" i="3"/>
  <c r="H331" i="3"/>
  <c r="H323" i="3"/>
  <c r="H319" i="3"/>
  <c r="H315" i="3"/>
  <c r="H311" i="3"/>
  <c r="H307" i="3"/>
  <c r="H303" i="3"/>
  <c r="H299" i="3"/>
  <c r="H295" i="3"/>
  <c r="H291" i="3"/>
  <c r="H267" i="3"/>
  <c r="H259" i="3"/>
  <c r="H251" i="3"/>
  <c r="H243" i="3"/>
  <c r="H235" i="3"/>
  <c r="H227" i="3"/>
  <c r="H219" i="3"/>
  <c r="H215" i="3"/>
  <c r="H211" i="3"/>
  <c r="H207" i="3"/>
  <c r="H203" i="3"/>
  <c r="H199" i="3"/>
  <c r="H195" i="3"/>
  <c r="H191" i="3"/>
  <c r="H187" i="3"/>
  <c r="H183" i="3"/>
  <c r="H179" i="3"/>
  <c r="H175" i="3"/>
  <c r="H167" i="3"/>
  <c r="H163" i="3"/>
  <c r="H159" i="3"/>
  <c r="H155" i="3"/>
  <c r="H151" i="3"/>
  <c r="H147" i="3"/>
  <c r="H143" i="3"/>
  <c r="H139" i="3"/>
  <c r="H135" i="3"/>
  <c r="H131" i="3"/>
  <c r="H127" i="3"/>
  <c r="H123" i="3"/>
  <c r="H115" i="3"/>
  <c r="H111" i="3"/>
  <c r="H107" i="3"/>
  <c r="H102" i="3"/>
  <c r="H98" i="3"/>
  <c r="H94" i="3"/>
  <c r="H89" i="3"/>
  <c r="H85" i="3"/>
  <c r="H81" i="3"/>
  <c r="H72" i="3"/>
  <c r="N127" i="3"/>
  <c r="O127" i="3" s="1"/>
  <c r="N61" i="3"/>
  <c r="O61" i="3" s="1"/>
  <c r="H37" i="3"/>
  <c r="H29" i="3"/>
  <c r="H20" i="3"/>
  <c r="H290" i="3"/>
  <c r="H286" i="3"/>
  <c r="H282" i="3"/>
  <c r="H278" i="3"/>
  <c r="H274" i="3"/>
  <c r="H270" i="3"/>
  <c r="H266" i="3"/>
  <c r="H258" i="3"/>
  <c r="H254" i="3"/>
  <c r="H250" i="3"/>
  <c r="H262" i="3" s="1"/>
  <c r="H246" i="3"/>
  <c r="H242" i="3"/>
  <c r="H238" i="3"/>
  <c r="H234" i="3"/>
  <c r="H230" i="3"/>
  <c r="H226" i="3"/>
  <c r="H222" i="3"/>
  <c r="H218" i="3"/>
  <c r="H214" i="3"/>
  <c r="H206" i="3"/>
  <c r="H202" i="3"/>
  <c r="H198" i="3"/>
  <c r="H210" i="3" s="1"/>
  <c r="H194" i="3"/>
  <c r="H190" i="3"/>
  <c r="H186" i="3"/>
  <c r="H182" i="3"/>
  <c r="H178" i="3"/>
  <c r="H174" i="3"/>
  <c r="H170" i="3"/>
  <c r="H166" i="3"/>
  <c r="H162" i="3"/>
  <c r="H154" i="3"/>
  <c r="H150" i="3"/>
  <c r="H146" i="3"/>
  <c r="H158" i="3" s="1"/>
  <c r="H142" i="3"/>
  <c r="H138" i="3"/>
  <c r="H134" i="3"/>
  <c r="H130" i="3"/>
  <c r="H126" i="3"/>
  <c r="H122" i="3"/>
  <c r="H118" i="3"/>
  <c r="H114" i="3"/>
  <c r="H110" i="3"/>
  <c r="H105" i="3"/>
  <c r="H101" i="3"/>
  <c r="H97" i="3"/>
  <c r="H92" i="3"/>
  <c r="H88" i="3"/>
  <c r="H84" i="3"/>
  <c r="H79" i="3"/>
  <c r="H75" i="3"/>
  <c r="H71" i="3"/>
  <c r="H66" i="3"/>
  <c r="N44" i="3"/>
  <c r="O44" i="3" s="1"/>
  <c r="H78" i="3"/>
  <c r="H74" i="3"/>
  <c r="H70" i="3"/>
  <c r="H65" i="3"/>
  <c r="K93" i="3"/>
  <c r="N83" i="3"/>
  <c r="O148" i="1"/>
  <c r="K16" i="1"/>
  <c r="K24" i="1"/>
  <c r="K33" i="1"/>
  <c r="K42" i="1"/>
  <c r="K50" i="1"/>
  <c r="K59" i="1"/>
  <c r="K68" i="1"/>
  <c r="K76" i="1"/>
  <c r="K85" i="1"/>
  <c r="K94" i="1"/>
  <c r="K102" i="1"/>
  <c r="K111" i="1"/>
  <c r="K120" i="1"/>
  <c r="K128" i="1"/>
  <c r="K141" i="1"/>
  <c r="K146" i="1"/>
  <c r="K160" i="1"/>
  <c r="K164" i="1"/>
  <c r="K177" i="1"/>
  <c r="K181" i="1"/>
  <c r="K194" i="1"/>
  <c r="K199" i="1"/>
  <c r="K212" i="1"/>
  <c r="K216" i="1"/>
  <c r="K229" i="1"/>
  <c r="K233" i="1"/>
  <c r="K246" i="1"/>
  <c r="K251" i="1"/>
  <c r="K264" i="1"/>
  <c r="K268" i="1"/>
  <c r="K281" i="1"/>
  <c r="K285" i="1"/>
  <c r="K298" i="1"/>
  <c r="K303" i="1"/>
  <c r="K316" i="1"/>
  <c r="K320" i="1"/>
  <c r="K333" i="1"/>
  <c r="K337" i="1"/>
  <c r="K350" i="1"/>
  <c r="K355" i="1"/>
  <c r="K368" i="1"/>
  <c r="K372" i="1"/>
  <c r="J4" i="1"/>
  <c r="K4" i="1" s="1"/>
  <c r="N4" i="1" s="1"/>
  <c r="O4" i="1" s="1"/>
  <c r="J5" i="1"/>
  <c r="K5" i="1" s="1"/>
  <c r="J6" i="1"/>
  <c r="K6" i="1" s="1"/>
  <c r="N6" i="1" s="1"/>
  <c r="O6" i="1" s="1"/>
  <c r="J7" i="1"/>
  <c r="K7" i="1" s="1"/>
  <c r="J8" i="1"/>
  <c r="K8" i="1" s="1"/>
  <c r="N8" i="1" s="1"/>
  <c r="O8" i="1" s="1"/>
  <c r="J9" i="1"/>
  <c r="K9" i="1" s="1"/>
  <c r="J11" i="1"/>
  <c r="K11" i="1" s="1"/>
  <c r="J12" i="1"/>
  <c r="K12" i="1" s="1"/>
  <c r="J13" i="1"/>
  <c r="K13" i="1" s="1"/>
  <c r="J14" i="1"/>
  <c r="K14" i="1" s="1"/>
  <c r="N14" i="1" s="1"/>
  <c r="O14" i="1" s="1"/>
  <c r="J16" i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J25" i="1"/>
  <c r="K25" i="1" s="1"/>
  <c r="J26" i="1"/>
  <c r="K26" i="1" s="1"/>
  <c r="J27" i="1"/>
  <c r="K27" i="1" s="1"/>
  <c r="J29" i="1"/>
  <c r="K29" i="1" s="1"/>
  <c r="J30" i="1"/>
  <c r="K30" i="1" s="1"/>
  <c r="J31" i="1"/>
  <c r="K31" i="1" s="1"/>
  <c r="J32" i="1"/>
  <c r="K32" i="1" s="1"/>
  <c r="J33" i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2" i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J51" i="1"/>
  <c r="K51" i="1" s="1"/>
  <c r="J52" i="1"/>
  <c r="K52" i="1" s="1"/>
  <c r="J53" i="1"/>
  <c r="K53" i="1" s="1"/>
  <c r="J55" i="1"/>
  <c r="K55" i="1" s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8" i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J77" i="1"/>
  <c r="K77" i="1" s="1"/>
  <c r="J78" i="1"/>
  <c r="K78" i="1" s="1"/>
  <c r="J79" i="1"/>
  <c r="K79" i="1" s="1"/>
  <c r="J81" i="1"/>
  <c r="K81" i="1" s="1"/>
  <c r="J82" i="1"/>
  <c r="K82" i="1" s="1"/>
  <c r="J83" i="1"/>
  <c r="K83" i="1" s="1"/>
  <c r="J84" i="1"/>
  <c r="K84" i="1" s="1"/>
  <c r="J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4" i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J103" i="1"/>
  <c r="K103" i="1" s="1"/>
  <c r="J104" i="1"/>
  <c r="K104" i="1" s="1"/>
  <c r="J105" i="1"/>
  <c r="K105" i="1" s="1"/>
  <c r="J107" i="1"/>
  <c r="K107" i="1" s="1"/>
  <c r="J108" i="1"/>
  <c r="K108" i="1" s="1"/>
  <c r="J109" i="1"/>
  <c r="K109" i="1" s="1"/>
  <c r="J110" i="1"/>
  <c r="K110" i="1" s="1"/>
  <c r="J111" i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20" i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J129" i="1"/>
  <c r="K129" i="1" s="1"/>
  <c r="J130" i="1"/>
  <c r="K130" i="1" s="1"/>
  <c r="J131" i="1"/>
  <c r="K131" i="1" s="1"/>
  <c r="J133" i="1"/>
  <c r="K133" i="1" s="1"/>
  <c r="J134" i="1"/>
  <c r="K134" i="1" s="1"/>
  <c r="N134" i="1" s="1"/>
  <c r="O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J142" i="1"/>
  <c r="K142" i="1" s="1"/>
  <c r="J143" i="1"/>
  <c r="K143" i="1" s="1"/>
  <c r="J144" i="1"/>
  <c r="K144" i="1" s="1"/>
  <c r="J146" i="1"/>
  <c r="J147" i="1"/>
  <c r="K147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9" i="1"/>
  <c r="K159" i="1" s="1"/>
  <c r="J160" i="1"/>
  <c r="J161" i="1"/>
  <c r="K161" i="1" s="1"/>
  <c r="J162" i="1"/>
  <c r="K162" i="1" s="1"/>
  <c r="J163" i="1"/>
  <c r="K163" i="1" s="1"/>
  <c r="J164" i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J178" i="1"/>
  <c r="K178" i="1" s="1"/>
  <c r="J179" i="1"/>
  <c r="K179" i="1" s="1"/>
  <c r="J180" i="1"/>
  <c r="K180" i="1" s="1"/>
  <c r="J181" i="1"/>
  <c r="J182" i="1"/>
  <c r="K182" i="1" s="1"/>
  <c r="J183" i="1"/>
  <c r="K183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J195" i="1"/>
  <c r="K195" i="1" s="1"/>
  <c r="J196" i="1"/>
  <c r="K196" i="1" s="1"/>
  <c r="J198" i="1"/>
  <c r="K198" i="1" s="1"/>
  <c r="J199" i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1" i="1"/>
  <c r="K211" i="1" s="1"/>
  <c r="J212" i="1"/>
  <c r="J213" i="1"/>
  <c r="K213" i="1" s="1"/>
  <c r="J214" i="1"/>
  <c r="K214" i="1" s="1"/>
  <c r="J215" i="1"/>
  <c r="K215" i="1" s="1"/>
  <c r="J216" i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J230" i="1"/>
  <c r="K230" i="1" s="1"/>
  <c r="J231" i="1"/>
  <c r="K231" i="1" s="1"/>
  <c r="J232" i="1"/>
  <c r="K232" i="1" s="1"/>
  <c r="J233" i="1"/>
  <c r="J234" i="1"/>
  <c r="K234" i="1" s="1"/>
  <c r="J235" i="1"/>
  <c r="K235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J247" i="1"/>
  <c r="K247" i="1" s="1"/>
  <c r="J248" i="1"/>
  <c r="K248" i="1" s="1"/>
  <c r="J250" i="1"/>
  <c r="K250" i="1" s="1"/>
  <c r="J251" i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3" i="1"/>
  <c r="K263" i="1" s="1"/>
  <c r="J264" i="1"/>
  <c r="J265" i="1"/>
  <c r="K265" i="1" s="1"/>
  <c r="J266" i="1"/>
  <c r="K266" i="1" s="1"/>
  <c r="J267" i="1"/>
  <c r="K267" i="1" s="1"/>
  <c r="J268" i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J282" i="1"/>
  <c r="K282" i="1" s="1"/>
  <c r="J283" i="1"/>
  <c r="K283" i="1" s="1"/>
  <c r="J284" i="1"/>
  <c r="K284" i="1" s="1"/>
  <c r="J285" i="1"/>
  <c r="J286" i="1"/>
  <c r="K286" i="1" s="1"/>
  <c r="J287" i="1"/>
  <c r="K287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J299" i="1"/>
  <c r="K299" i="1" s="1"/>
  <c r="J300" i="1"/>
  <c r="K300" i="1" s="1"/>
  <c r="J302" i="1"/>
  <c r="K302" i="1" s="1"/>
  <c r="J303" i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5" i="1"/>
  <c r="K315" i="1" s="1"/>
  <c r="J316" i="1"/>
  <c r="J317" i="1"/>
  <c r="K317" i="1" s="1"/>
  <c r="J318" i="1"/>
  <c r="K318" i="1" s="1"/>
  <c r="J319" i="1"/>
  <c r="K319" i="1" s="1"/>
  <c r="J320" i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J334" i="1"/>
  <c r="K334" i="1" s="1"/>
  <c r="J335" i="1"/>
  <c r="K335" i="1" s="1"/>
  <c r="J336" i="1"/>
  <c r="K336" i="1" s="1"/>
  <c r="J337" i="1"/>
  <c r="J338" i="1"/>
  <c r="K338" i="1" s="1"/>
  <c r="J339" i="1"/>
  <c r="K339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J351" i="1"/>
  <c r="K351" i="1" s="1"/>
  <c r="J352" i="1"/>
  <c r="K352" i="1" s="1"/>
  <c r="J354" i="1"/>
  <c r="K354" i="1" s="1"/>
  <c r="J355" i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7" i="1"/>
  <c r="K367" i="1" s="1"/>
  <c r="J368" i="1"/>
  <c r="J369" i="1"/>
  <c r="K369" i="1" s="1"/>
  <c r="J370" i="1"/>
  <c r="K370" i="1" s="1"/>
  <c r="J371" i="1"/>
  <c r="K371" i="1" s="1"/>
  <c r="J372" i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N387" i="1" s="1"/>
  <c r="O387" i="1" s="1"/>
  <c r="J388" i="1"/>
  <c r="K388" i="1" s="1"/>
  <c r="N388" i="1" s="1"/>
  <c r="O388" i="1" s="1"/>
  <c r="J390" i="1"/>
  <c r="K390" i="1" s="1"/>
  <c r="N390" i="1" s="1"/>
  <c r="O390" i="1" s="1"/>
  <c r="J391" i="1"/>
  <c r="K391" i="1" s="1"/>
  <c r="N391" i="1" s="1"/>
  <c r="O391" i="1" s="1"/>
  <c r="J393" i="1"/>
  <c r="K393" i="1" s="1"/>
  <c r="J394" i="1"/>
  <c r="K394" i="1" s="1"/>
  <c r="N394" i="1" s="1"/>
  <c r="O394" i="1" s="1"/>
  <c r="J395" i="1"/>
  <c r="K395" i="1" s="1"/>
  <c r="N395" i="1" s="1"/>
  <c r="O395" i="1" s="1"/>
  <c r="J396" i="1"/>
  <c r="K396" i="1" s="1"/>
  <c r="J397" i="1"/>
  <c r="K397" i="1" s="1"/>
  <c r="N397" i="1" s="1"/>
  <c r="O397" i="1" s="1"/>
  <c r="J398" i="1"/>
  <c r="K398" i="1" s="1"/>
  <c r="N398" i="1" s="1"/>
  <c r="O398" i="1" s="1"/>
  <c r="J399" i="1"/>
  <c r="K399" i="1" s="1"/>
  <c r="N399" i="1" s="1"/>
  <c r="O399" i="1" s="1"/>
  <c r="J400" i="1"/>
  <c r="K400" i="1" s="1"/>
  <c r="N400" i="1" s="1"/>
  <c r="O400" i="1" s="1"/>
  <c r="J401" i="1"/>
  <c r="K401" i="1" s="1"/>
  <c r="N401" i="1" s="1"/>
  <c r="O401" i="1" s="1"/>
  <c r="J402" i="1"/>
  <c r="K402" i="1" s="1"/>
  <c r="N402" i="1" s="1"/>
  <c r="O402" i="1" s="1"/>
  <c r="J404" i="1"/>
  <c r="K404" i="1" s="1"/>
  <c r="N404" i="1" s="1"/>
  <c r="O404" i="1" s="1"/>
  <c r="J3" i="1"/>
  <c r="K3" i="1" s="1"/>
  <c r="F3" i="1"/>
  <c r="H3" i="1" s="1"/>
  <c r="G4" i="1"/>
  <c r="G5" i="1"/>
  <c r="G6" i="1"/>
  <c r="G7" i="1"/>
  <c r="G8" i="1"/>
  <c r="G9" i="1"/>
  <c r="G11" i="1"/>
  <c r="H11" i="1" s="1"/>
  <c r="G12" i="1"/>
  <c r="G13" i="1"/>
  <c r="G14" i="1"/>
  <c r="G16" i="1"/>
  <c r="F4" i="1"/>
  <c r="H4" i="1" s="1"/>
  <c r="F5" i="1"/>
  <c r="F6" i="1"/>
  <c r="F7" i="1"/>
  <c r="F8" i="1"/>
  <c r="H8" i="1" s="1"/>
  <c r="F9" i="1"/>
  <c r="F11" i="1"/>
  <c r="F12" i="1"/>
  <c r="F13" i="1"/>
  <c r="F14" i="1"/>
  <c r="F81" i="1"/>
  <c r="G81" i="1"/>
  <c r="F82" i="1"/>
  <c r="H82" i="1" s="1"/>
  <c r="G82" i="1"/>
  <c r="F83" i="1"/>
  <c r="G83" i="1"/>
  <c r="F84" i="1"/>
  <c r="H84" i="1" s="1"/>
  <c r="G84" i="1"/>
  <c r="F85" i="1"/>
  <c r="G85" i="1"/>
  <c r="F86" i="1"/>
  <c r="H86" i="1" s="1"/>
  <c r="G86" i="1"/>
  <c r="F87" i="1"/>
  <c r="G87" i="1"/>
  <c r="F88" i="1"/>
  <c r="H88" i="1" s="1"/>
  <c r="G88" i="1"/>
  <c r="F89" i="1"/>
  <c r="G89" i="1"/>
  <c r="F90" i="1"/>
  <c r="H90" i="1" s="1"/>
  <c r="G90" i="1"/>
  <c r="F91" i="1"/>
  <c r="G91" i="1"/>
  <c r="F92" i="1"/>
  <c r="H92" i="1" s="1"/>
  <c r="G92" i="1"/>
  <c r="G393" i="1"/>
  <c r="G394" i="1"/>
  <c r="G395" i="1"/>
  <c r="G396" i="1"/>
  <c r="G397" i="1"/>
  <c r="G398" i="1"/>
  <c r="G399" i="1"/>
  <c r="G400" i="1"/>
  <c r="G401" i="1"/>
  <c r="G402" i="1"/>
  <c r="G404" i="1"/>
  <c r="G391" i="1"/>
  <c r="G380" i="1"/>
  <c r="G381" i="1"/>
  <c r="G382" i="1"/>
  <c r="G383" i="1"/>
  <c r="G384" i="1"/>
  <c r="G385" i="1"/>
  <c r="G386" i="1"/>
  <c r="G387" i="1"/>
  <c r="G388" i="1"/>
  <c r="G389" i="1"/>
  <c r="G390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52" i="1"/>
  <c r="G341" i="1"/>
  <c r="G342" i="1"/>
  <c r="G343" i="1"/>
  <c r="G344" i="1"/>
  <c r="G345" i="1"/>
  <c r="G346" i="1"/>
  <c r="G347" i="1"/>
  <c r="G348" i="1"/>
  <c r="G349" i="1"/>
  <c r="G350" i="1"/>
  <c r="G351" i="1"/>
  <c r="G330" i="1"/>
  <c r="G331" i="1"/>
  <c r="G332" i="1"/>
  <c r="H332" i="1" s="1"/>
  <c r="G333" i="1"/>
  <c r="G334" i="1"/>
  <c r="G335" i="1"/>
  <c r="G336" i="1"/>
  <c r="H336" i="1" s="1"/>
  <c r="G337" i="1"/>
  <c r="G338" i="1"/>
  <c r="G339" i="1"/>
  <c r="G315" i="1"/>
  <c r="H315" i="1" s="1"/>
  <c r="G316" i="1"/>
  <c r="G317" i="1"/>
  <c r="G318" i="1"/>
  <c r="G319" i="1"/>
  <c r="H319" i="1" s="1"/>
  <c r="G320" i="1"/>
  <c r="G321" i="1"/>
  <c r="G322" i="1"/>
  <c r="G323" i="1"/>
  <c r="H323" i="1" s="1"/>
  <c r="G302" i="1"/>
  <c r="G303" i="1"/>
  <c r="G304" i="1"/>
  <c r="G305" i="1"/>
  <c r="H305" i="1" s="1"/>
  <c r="G306" i="1"/>
  <c r="G307" i="1"/>
  <c r="G308" i="1"/>
  <c r="G309" i="1"/>
  <c r="H309" i="1" s="1"/>
  <c r="G310" i="1"/>
  <c r="G311" i="1"/>
  <c r="G312" i="1"/>
  <c r="G313" i="1"/>
  <c r="H313" i="1" s="1"/>
  <c r="G289" i="1"/>
  <c r="G290" i="1"/>
  <c r="G291" i="1"/>
  <c r="G292" i="1"/>
  <c r="H292" i="1" s="1"/>
  <c r="G293" i="1"/>
  <c r="G294" i="1"/>
  <c r="G295" i="1"/>
  <c r="G296" i="1"/>
  <c r="H296" i="1" s="1"/>
  <c r="G297" i="1"/>
  <c r="G298" i="1"/>
  <c r="G299" i="1"/>
  <c r="G300" i="1"/>
  <c r="H300" i="1" s="1"/>
  <c r="G276" i="1"/>
  <c r="G277" i="1"/>
  <c r="G278" i="1"/>
  <c r="G279" i="1"/>
  <c r="H279" i="1" s="1"/>
  <c r="G280" i="1"/>
  <c r="G281" i="1"/>
  <c r="G282" i="1"/>
  <c r="G283" i="1"/>
  <c r="H283" i="1" s="1"/>
  <c r="G284" i="1"/>
  <c r="G285" i="1"/>
  <c r="G286" i="1"/>
  <c r="G287" i="1"/>
  <c r="H287" i="1" s="1"/>
  <c r="G263" i="1"/>
  <c r="G264" i="1"/>
  <c r="G265" i="1"/>
  <c r="G266" i="1"/>
  <c r="H266" i="1" s="1"/>
  <c r="G267" i="1"/>
  <c r="G268" i="1"/>
  <c r="G269" i="1"/>
  <c r="G270" i="1"/>
  <c r="H270" i="1" s="1"/>
  <c r="G271" i="1"/>
  <c r="G272" i="1"/>
  <c r="G273" i="1"/>
  <c r="G274" i="1"/>
  <c r="H274" i="1" s="1"/>
  <c r="G250" i="1"/>
  <c r="G251" i="1"/>
  <c r="G252" i="1"/>
  <c r="G253" i="1"/>
  <c r="H253" i="1" s="1"/>
  <c r="G254" i="1"/>
  <c r="G255" i="1"/>
  <c r="G257" i="1"/>
  <c r="G258" i="1"/>
  <c r="H258" i="1" s="1"/>
  <c r="G259" i="1"/>
  <c r="G260" i="1"/>
  <c r="G261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198" i="1"/>
  <c r="G199" i="1"/>
  <c r="G200" i="1"/>
  <c r="G201" i="1"/>
  <c r="G202" i="1"/>
  <c r="G203" i="1"/>
  <c r="G204" i="1"/>
  <c r="G205" i="1"/>
  <c r="G206" i="1"/>
  <c r="G207" i="1"/>
  <c r="G209" i="1"/>
  <c r="G185" i="1"/>
  <c r="G186" i="1"/>
  <c r="H186" i="1" s="1"/>
  <c r="G187" i="1"/>
  <c r="G188" i="1"/>
  <c r="G189" i="1"/>
  <c r="G190" i="1"/>
  <c r="H190" i="1" s="1"/>
  <c r="G191" i="1"/>
  <c r="G192" i="1"/>
  <c r="G193" i="1"/>
  <c r="G194" i="1"/>
  <c r="H194" i="1" s="1"/>
  <c r="G195" i="1"/>
  <c r="G196" i="1"/>
  <c r="G172" i="1"/>
  <c r="G173" i="1"/>
  <c r="G174" i="1"/>
  <c r="G175" i="1"/>
  <c r="G176" i="1"/>
  <c r="G178" i="1"/>
  <c r="G179" i="1"/>
  <c r="G180" i="1"/>
  <c r="G181" i="1"/>
  <c r="G183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46" i="1"/>
  <c r="G147" i="1"/>
  <c r="G149" i="1"/>
  <c r="G150" i="1"/>
  <c r="G151" i="1"/>
  <c r="G152" i="1"/>
  <c r="G153" i="1"/>
  <c r="G154" i="1"/>
  <c r="G155" i="1"/>
  <c r="G156" i="1"/>
  <c r="G157" i="1"/>
  <c r="G144" i="1"/>
  <c r="G133" i="1"/>
  <c r="G134" i="1"/>
  <c r="G135" i="1"/>
  <c r="G136" i="1"/>
  <c r="G137" i="1"/>
  <c r="G138" i="1"/>
  <c r="G139" i="1"/>
  <c r="G140" i="1"/>
  <c r="G141" i="1"/>
  <c r="G142" i="1"/>
  <c r="G143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3" i="1"/>
  <c r="F134" i="1"/>
  <c r="H134" i="1" s="1"/>
  <c r="F135" i="1"/>
  <c r="F136" i="1"/>
  <c r="F137" i="1"/>
  <c r="F138" i="1"/>
  <c r="H138" i="1" s="1"/>
  <c r="F139" i="1"/>
  <c r="F140" i="1"/>
  <c r="F141" i="1"/>
  <c r="F142" i="1"/>
  <c r="H142" i="1" s="1"/>
  <c r="F143" i="1"/>
  <c r="F144" i="1"/>
  <c r="F146" i="1"/>
  <c r="F147" i="1"/>
  <c r="H147" i="1" s="1"/>
  <c r="F149" i="1"/>
  <c r="F150" i="1"/>
  <c r="F151" i="1"/>
  <c r="F152" i="1"/>
  <c r="H152" i="1" s="1"/>
  <c r="F153" i="1"/>
  <c r="F154" i="1"/>
  <c r="F155" i="1"/>
  <c r="F156" i="1"/>
  <c r="H156" i="1" s="1"/>
  <c r="F157" i="1"/>
  <c r="F159" i="1"/>
  <c r="F160" i="1"/>
  <c r="H160" i="1" s="1"/>
  <c r="F161" i="1"/>
  <c r="F162" i="1"/>
  <c r="F163" i="1"/>
  <c r="F164" i="1"/>
  <c r="H164" i="1" s="1"/>
  <c r="F165" i="1"/>
  <c r="F166" i="1"/>
  <c r="F167" i="1"/>
  <c r="F168" i="1"/>
  <c r="H168" i="1" s="1"/>
  <c r="F169" i="1"/>
  <c r="F170" i="1"/>
  <c r="F172" i="1"/>
  <c r="H172" i="1" s="1"/>
  <c r="F173" i="1"/>
  <c r="H173" i="1" s="1"/>
  <c r="F174" i="1"/>
  <c r="H174" i="1" s="1"/>
  <c r="F175" i="1"/>
  <c r="H175" i="1" s="1"/>
  <c r="F176" i="1"/>
  <c r="H176" i="1" s="1"/>
  <c r="F178" i="1"/>
  <c r="F179" i="1"/>
  <c r="F180" i="1"/>
  <c r="F181" i="1"/>
  <c r="F183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8" i="1"/>
  <c r="F199" i="1"/>
  <c r="F200" i="1"/>
  <c r="F201" i="1"/>
  <c r="F202" i="1"/>
  <c r="F203" i="1"/>
  <c r="F204" i="1"/>
  <c r="F205" i="1"/>
  <c r="F206" i="1"/>
  <c r="F207" i="1"/>
  <c r="F209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50" i="1"/>
  <c r="F251" i="1"/>
  <c r="F252" i="1"/>
  <c r="F253" i="1"/>
  <c r="F254" i="1"/>
  <c r="F255" i="1"/>
  <c r="F257" i="1"/>
  <c r="F258" i="1"/>
  <c r="F259" i="1"/>
  <c r="F260" i="1"/>
  <c r="F261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5" i="1"/>
  <c r="F316" i="1"/>
  <c r="F317" i="1"/>
  <c r="F318" i="1"/>
  <c r="F319" i="1"/>
  <c r="F320" i="1"/>
  <c r="F321" i="1"/>
  <c r="F322" i="1"/>
  <c r="F323" i="1"/>
  <c r="F330" i="1"/>
  <c r="F331" i="1"/>
  <c r="F332" i="1"/>
  <c r="F333" i="1"/>
  <c r="F334" i="1"/>
  <c r="F335" i="1"/>
  <c r="F336" i="1"/>
  <c r="F337" i="1"/>
  <c r="F338" i="1"/>
  <c r="F339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3" i="1"/>
  <c r="F394" i="1"/>
  <c r="F395" i="1"/>
  <c r="F396" i="1"/>
  <c r="F397" i="1"/>
  <c r="F398" i="1"/>
  <c r="F399" i="1"/>
  <c r="F400" i="1"/>
  <c r="F401" i="1"/>
  <c r="F402" i="1"/>
  <c r="F404" i="1"/>
  <c r="F118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05" i="1"/>
  <c r="H105" i="1" s="1"/>
  <c r="G105" i="1"/>
  <c r="G95" i="1"/>
  <c r="G96" i="1"/>
  <c r="G97" i="1"/>
  <c r="G98" i="1"/>
  <c r="G99" i="1"/>
  <c r="G100" i="1"/>
  <c r="G101" i="1"/>
  <c r="G102" i="1"/>
  <c r="G103" i="1"/>
  <c r="G104" i="1"/>
  <c r="G94" i="1"/>
  <c r="F95" i="1"/>
  <c r="F96" i="1"/>
  <c r="F97" i="1"/>
  <c r="F98" i="1"/>
  <c r="H98" i="1" s="1"/>
  <c r="F99" i="1"/>
  <c r="F100" i="1"/>
  <c r="F101" i="1"/>
  <c r="F102" i="1"/>
  <c r="H102" i="1" s="1"/>
  <c r="F103" i="1"/>
  <c r="F104" i="1"/>
  <c r="F94" i="1"/>
  <c r="G79" i="1"/>
  <c r="G78" i="1"/>
  <c r="G77" i="1"/>
  <c r="G76" i="1"/>
  <c r="G75" i="1"/>
  <c r="G74" i="1"/>
  <c r="G73" i="1"/>
  <c r="G72" i="1"/>
  <c r="G71" i="1"/>
  <c r="G70" i="1"/>
  <c r="G69" i="1"/>
  <c r="F79" i="1"/>
  <c r="F78" i="1"/>
  <c r="H78" i="1" s="1"/>
  <c r="F77" i="1"/>
  <c r="F76" i="1"/>
  <c r="F75" i="1"/>
  <c r="F74" i="1"/>
  <c r="H74" i="1" s="1"/>
  <c r="F73" i="1"/>
  <c r="F72" i="1"/>
  <c r="F71" i="1"/>
  <c r="F70" i="1"/>
  <c r="H70" i="1" s="1"/>
  <c r="F69" i="1"/>
  <c r="G68" i="1"/>
  <c r="F68" i="1"/>
  <c r="H68" i="1" s="1"/>
  <c r="G66" i="1"/>
  <c r="G65" i="1"/>
  <c r="G64" i="1"/>
  <c r="G63" i="1"/>
  <c r="G62" i="1"/>
  <c r="G61" i="1"/>
  <c r="G60" i="1"/>
  <c r="G59" i="1"/>
  <c r="G58" i="1"/>
  <c r="G57" i="1"/>
  <c r="G56" i="1"/>
  <c r="G55" i="1"/>
  <c r="F66" i="1"/>
  <c r="H66" i="1" s="1"/>
  <c r="F65" i="1"/>
  <c r="H65" i="1" s="1"/>
  <c r="F64" i="1"/>
  <c r="H64" i="1" s="1"/>
  <c r="F63" i="1"/>
  <c r="H63" i="1" s="1"/>
  <c r="F62" i="1"/>
  <c r="H62" i="1" s="1"/>
  <c r="F61" i="1"/>
  <c r="H61" i="1" s="1"/>
  <c r="F60" i="1"/>
  <c r="H60" i="1" s="1"/>
  <c r="F59" i="1"/>
  <c r="H59" i="1" s="1"/>
  <c r="F58" i="1"/>
  <c r="H58" i="1" s="1"/>
  <c r="F57" i="1"/>
  <c r="H57" i="1" s="1"/>
  <c r="F56" i="1"/>
  <c r="H56" i="1" s="1"/>
  <c r="F55" i="1"/>
  <c r="H55" i="1" s="1"/>
  <c r="G53" i="1"/>
  <c r="G52" i="1"/>
  <c r="G51" i="1"/>
  <c r="G50" i="1"/>
  <c r="G49" i="1"/>
  <c r="G48" i="1"/>
  <c r="G47" i="1"/>
  <c r="G46" i="1"/>
  <c r="G45" i="1"/>
  <c r="G44" i="1"/>
  <c r="G43" i="1"/>
  <c r="G42" i="1"/>
  <c r="F53" i="1"/>
  <c r="H53" i="1" s="1"/>
  <c r="F52" i="1"/>
  <c r="H52" i="1" s="1"/>
  <c r="F51" i="1"/>
  <c r="H51" i="1" s="1"/>
  <c r="F50" i="1"/>
  <c r="H50" i="1" s="1"/>
  <c r="F49" i="1"/>
  <c r="H49" i="1" s="1"/>
  <c r="F48" i="1"/>
  <c r="H48" i="1" s="1"/>
  <c r="F47" i="1"/>
  <c r="H47" i="1" s="1"/>
  <c r="F46" i="1"/>
  <c r="H46" i="1" s="1"/>
  <c r="F45" i="1"/>
  <c r="H45" i="1" s="1"/>
  <c r="F44" i="1"/>
  <c r="H44" i="1" s="1"/>
  <c r="F43" i="1"/>
  <c r="H43" i="1" s="1"/>
  <c r="F42" i="1"/>
  <c r="H42" i="1" s="1"/>
  <c r="G40" i="1"/>
  <c r="G39" i="1"/>
  <c r="G38" i="1"/>
  <c r="G37" i="1"/>
  <c r="G36" i="1"/>
  <c r="G35" i="1"/>
  <c r="G34" i="1"/>
  <c r="G33" i="1"/>
  <c r="G32" i="1"/>
  <c r="G31" i="1"/>
  <c r="G30" i="1"/>
  <c r="G29" i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16" i="1"/>
  <c r="G27" i="1"/>
  <c r="G26" i="1"/>
  <c r="G25" i="1"/>
  <c r="G24" i="1"/>
  <c r="G23" i="1"/>
  <c r="G22" i="1"/>
  <c r="G21" i="1"/>
  <c r="G20" i="1"/>
  <c r="G19" i="1"/>
  <c r="G18" i="1"/>
  <c r="G17" i="1"/>
  <c r="H17" i="1" s="1"/>
  <c r="F27" i="1"/>
  <c r="H27" i="1" s="1"/>
  <c r="F26" i="1"/>
  <c r="F25" i="1"/>
  <c r="F24" i="1"/>
  <c r="F23" i="1"/>
  <c r="H23" i="1" s="1"/>
  <c r="F22" i="1"/>
  <c r="F21" i="1"/>
  <c r="F20" i="1"/>
  <c r="F19" i="1"/>
  <c r="H19" i="1" s="1"/>
  <c r="F18" i="1"/>
  <c r="F17" i="1"/>
  <c r="O132" i="3" l="1"/>
  <c r="N106" i="3"/>
  <c r="O107" i="3"/>
  <c r="O119" i="3" s="1"/>
  <c r="N119" i="3"/>
  <c r="O276" i="3"/>
  <c r="O288" i="3" s="1"/>
  <c r="N288" i="3"/>
  <c r="H288" i="3"/>
  <c r="H327" i="3"/>
  <c r="O211" i="3"/>
  <c r="O223" i="3" s="1"/>
  <c r="N223" i="3"/>
  <c r="O289" i="3"/>
  <c r="O301" i="3" s="1"/>
  <c r="N301" i="3"/>
  <c r="H132" i="3"/>
  <c r="O145" i="3"/>
  <c r="N249" i="3"/>
  <c r="O198" i="3"/>
  <c r="O210" i="3" s="1"/>
  <c r="N210" i="3"/>
  <c r="H340" i="3"/>
  <c r="H366" i="3"/>
  <c r="O159" i="3"/>
  <c r="O171" i="3" s="1"/>
  <c r="N171" i="3"/>
  <c r="H28" i="3"/>
  <c r="H119" i="3"/>
  <c r="H171" i="3"/>
  <c r="H223" i="3"/>
  <c r="O263" i="3"/>
  <c r="O275" i="3" s="1"/>
  <c r="N275" i="3"/>
  <c r="H184" i="3"/>
  <c r="H236" i="3"/>
  <c r="O172" i="3"/>
  <c r="O184" i="3" s="1"/>
  <c r="N184" i="3"/>
  <c r="O328" i="3"/>
  <c r="O340" i="3" s="1"/>
  <c r="N340" i="3"/>
  <c r="N145" i="3"/>
  <c r="O237" i="3"/>
  <c r="O249" i="3" s="1"/>
  <c r="O354" i="3"/>
  <c r="O366" i="3" s="1"/>
  <c r="N366" i="3"/>
  <c r="H314" i="3"/>
  <c r="O315" i="3"/>
  <c r="O327" i="3" s="1"/>
  <c r="N327" i="3"/>
  <c r="N132" i="3"/>
  <c r="O302" i="3"/>
  <c r="O314" i="3" s="1"/>
  <c r="N314" i="3"/>
  <c r="H275" i="3"/>
  <c r="H106" i="3"/>
  <c r="O185" i="3"/>
  <c r="O197" i="3" s="1"/>
  <c r="N197" i="3"/>
  <c r="O224" i="3"/>
  <c r="O236" i="3" s="1"/>
  <c r="N236" i="3"/>
  <c r="O341" i="3"/>
  <c r="O353" i="3" s="1"/>
  <c r="N353" i="3"/>
  <c r="O146" i="3"/>
  <c r="O158" i="3" s="1"/>
  <c r="N158" i="3"/>
  <c r="O250" i="3"/>
  <c r="O262" i="3" s="1"/>
  <c r="N262" i="3"/>
  <c r="H145" i="3"/>
  <c r="H197" i="3"/>
  <c r="H249" i="3"/>
  <c r="H301" i="3"/>
  <c r="H353" i="3"/>
  <c r="H145" i="2"/>
  <c r="N405" i="2"/>
  <c r="O394" i="2"/>
  <c r="O405" i="2" s="1"/>
  <c r="H28" i="2"/>
  <c r="N353" i="2"/>
  <c r="N236" i="2"/>
  <c r="O93" i="2"/>
  <c r="O275" i="2"/>
  <c r="O340" i="2"/>
  <c r="O119" i="2"/>
  <c r="N184" i="2"/>
  <c r="O197" i="2"/>
  <c r="O249" i="2"/>
  <c r="N288" i="2"/>
  <c r="N301" i="2"/>
  <c r="O366" i="2"/>
  <c r="N132" i="2"/>
  <c r="N106" i="2"/>
  <c r="N145" i="2"/>
  <c r="N379" i="2"/>
  <c r="N67" i="2"/>
  <c r="N171" i="2"/>
  <c r="O172" i="2"/>
  <c r="O184" i="2" s="1"/>
  <c r="N223" i="2"/>
  <c r="O224" i="2"/>
  <c r="O236" i="2" s="1"/>
  <c r="O276" i="2"/>
  <c r="O288" i="2" s="1"/>
  <c r="N314" i="2"/>
  <c r="O367" i="2"/>
  <c r="O379" i="2" s="1"/>
  <c r="N80" i="2"/>
  <c r="O120" i="2"/>
  <c r="O132" i="2" s="1"/>
  <c r="N54" i="2"/>
  <c r="O94" i="2"/>
  <c r="O106" i="2" s="1"/>
  <c r="N93" i="2"/>
  <c r="N340" i="2"/>
  <c r="N327" i="2"/>
  <c r="N41" i="2"/>
  <c r="O67" i="2"/>
  <c r="N158" i="2"/>
  <c r="O171" i="2"/>
  <c r="N210" i="2"/>
  <c r="O223" i="2"/>
  <c r="N262" i="2"/>
  <c r="N275" i="2"/>
  <c r="O314" i="2"/>
  <c r="N392" i="2"/>
  <c r="N28" i="2"/>
  <c r="O68" i="2"/>
  <c r="O80" i="2" s="1"/>
  <c r="N15" i="2"/>
  <c r="O42" i="2"/>
  <c r="O54" i="2" s="1"/>
  <c r="O342" i="2"/>
  <c r="O353" i="2" s="1"/>
  <c r="O29" i="2"/>
  <c r="O41" i="2" s="1"/>
  <c r="N119" i="2"/>
  <c r="O146" i="2"/>
  <c r="O158" i="2" s="1"/>
  <c r="N197" i="2"/>
  <c r="O198" i="2"/>
  <c r="O210" i="2" s="1"/>
  <c r="N249" i="2"/>
  <c r="O250" i="2"/>
  <c r="O262" i="2" s="1"/>
  <c r="O289" i="2"/>
  <c r="O301" i="2" s="1"/>
  <c r="O315" i="2"/>
  <c r="O327" i="2" s="1"/>
  <c r="N366" i="2"/>
  <c r="O380" i="2"/>
  <c r="O392" i="2" s="1"/>
  <c r="O28" i="2"/>
  <c r="O15" i="2"/>
  <c r="O138" i="2"/>
  <c r="O145" i="2" s="1"/>
  <c r="H167" i="1"/>
  <c r="H163" i="1"/>
  <c r="H159" i="1"/>
  <c r="H193" i="1"/>
  <c r="H189" i="1"/>
  <c r="H185" i="1"/>
  <c r="H261" i="1"/>
  <c r="H257" i="1"/>
  <c r="H252" i="1"/>
  <c r="H273" i="1"/>
  <c r="H269" i="1"/>
  <c r="H265" i="1"/>
  <c r="H286" i="1"/>
  <c r="H282" i="1"/>
  <c r="H278" i="1"/>
  <c r="H299" i="1"/>
  <c r="H295" i="1"/>
  <c r="H291" i="1"/>
  <c r="H312" i="1"/>
  <c r="H308" i="1"/>
  <c r="H304" i="1"/>
  <c r="H322" i="1"/>
  <c r="H318" i="1"/>
  <c r="H339" i="1"/>
  <c r="H335" i="1"/>
  <c r="H331" i="1"/>
  <c r="H349" i="1"/>
  <c r="H345" i="1"/>
  <c r="H341" i="1"/>
  <c r="H388" i="1"/>
  <c r="H384" i="1"/>
  <c r="H380" i="1"/>
  <c r="H401" i="1"/>
  <c r="H397" i="1"/>
  <c r="H393" i="1"/>
  <c r="H20" i="1"/>
  <c r="H24" i="1"/>
  <c r="H41" i="1"/>
  <c r="H54" i="1"/>
  <c r="H67" i="1"/>
  <c r="H71" i="1"/>
  <c r="H75" i="1"/>
  <c r="H79" i="1"/>
  <c r="H94" i="1"/>
  <c r="H101" i="1"/>
  <c r="H97" i="1"/>
  <c r="H155" i="1"/>
  <c r="H151" i="1"/>
  <c r="H146" i="1"/>
  <c r="H141" i="1"/>
  <c r="H137" i="1"/>
  <c r="H133" i="1"/>
  <c r="H206" i="1"/>
  <c r="H202" i="1"/>
  <c r="H198" i="1"/>
  <c r="H7" i="1"/>
  <c r="H16" i="1"/>
  <c r="N3" i="1"/>
  <c r="N382" i="1"/>
  <c r="O382" i="1" s="1"/>
  <c r="O377" i="1"/>
  <c r="N377" i="1"/>
  <c r="N373" i="1"/>
  <c r="O373" i="1" s="1"/>
  <c r="N369" i="1"/>
  <c r="O369" i="1" s="1"/>
  <c r="N364" i="1"/>
  <c r="O364" i="1" s="1"/>
  <c r="N360" i="1"/>
  <c r="O360" i="1" s="1"/>
  <c r="N356" i="1"/>
  <c r="O356" i="1" s="1"/>
  <c r="N351" i="1"/>
  <c r="O351" i="1" s="1"/>
  <c r="N347" i="1"/>
  <c r="O347" i="1" s="1"/>
  <c r="O343" i="1"/>
  <c r="N343" i="1"/>
  <c r="N334" i="1"/>
  <c r="O334" i="1" s="1"/>
  <c r="N330" i="1"/>
  <c r="O330" i="1" s="1"/>
  <c r="N325" i="1"/>
  <c r="O325" i="1" s="1"/>
  <c r="N321" i="1"/>
  <c r="O321" i="1" s="1"/>
  <c r="N317" i="1"/>
  <c r="O317" i="1" s="1"/>
  <c r="N312" i="1"/>
  <c r="O312" i="1" s="1"/>
  <c r="N308" i="1"/>
  <c r="O308" i="1" s="1"/>
  <c r="N304" i="1"/>
  <c r="O304" i="1" s="1"/>
  <c r="N299" i="1"/>
  <c r="O299" i="1" s="1"/>
  <c r="N295" i="1"/>
  <c r="O295" i="1" s="1"/>
  <c r="N291" i="1"/>
  <c r="O291" i="1" s="1"/>
  <c r="N286" i="1"/>
  <c r="O286" i="1" s="1"/>
  <c r="N282" i="1"/>
  <c r="O282" i="1" s="1"/>
  <c r="N278" i="1"/>
  <c r="O278" i="1" s="1"/>
  <c r="N273" i="1"/>
  <c r="O273" i="1" s="1"/>
  <c r="N269" i="1"/>
  <c r="O269" i="1" s="1"/>
  <c r="N265" i="1"/>
  <c r="O265" i="1" s="1"/>
  <c r="N260" i="1"/>
  <c r="O260" i="1" s="1"/>
  <c r="N256" i="1"/>
  <c r="O256" i="1" s="1"/>
  <c r="N252" i="1"/>
  <c r="O252" i="1" s="1"/>
  <c r="N247" i="1"/>
  <c r="O247" i="1" s="1"/>
  <c r="N243" i="1"/>
  <c r="O243" i="1" s="1"/>
  <c r="N239" i="1"/>
  <c r="O239" i="1" s="1"/>
  <c r="N234" i="1"/>
  <c r="O234" i="1" s="1"/>
  <c r="N230" i="1"/>
  <c r="O230" i="1" s="1"/>
  <c r="N226" i="1"/>
  <c r="O226" i="1" s="1"/>
  <c r="N221" i="1"/>
  <c r="O221" i="1" s="1"/>
  <c r="N217" i="1"/>
  <c r="O217" i="1" s="1"/>
  <c r="N213" i="1"/>
  <c r="O213" i="1" s="1"/>
  <c r="N208" i="1"/>
  <c r="O208" i="1" s="1"/>
  <c r="N204" i="1"/>
  <c r="O204" i="1" s="1"/>
  <c r="N200" i="1"/>
  <c r="O200" i="1" s="1"/>
  <c r="N195" i="1"/>
  <c r="O195" i="1" s="1"/>
  <c r="N191" i="1"/>
  <c r="O191" i="1" s="1"/>
  <c r="N187" i="1"/>
  <c r="O187" i="1" s="1"/>
  <c r="N182" i="1"/>
  <c r="O182" i="1" s="1"/>
  <c r="N178" i="1"/>
  <c r="O178" i="1" s="1"/>
  <c r="N174" i="1"/>
  <c r="O174" i="1" s="1"/>
  <c r="N169" i="1"/>
  <c r="O169" i="1" s="1"/>
  <c r="N165" i="1"/>
  <c r="O165" i="1" s="1"/>
  <c r="N161" i="1"/>
  <c r="O161" i="1" s="1"/>
  <c r="N156" i="1"/>
  <c r="O156" i="1" s="1"/>
  <c r="N152" i="1"/>
  <c r="O152" i="1" s="1"/>
  <c r="N147" i="1"/>
  <c r="O147" i="1" s="1"/>
  <c r="N142" i="1"/>
  <c r="O142" i="1" s="1"/>
  <c r="N138" i="1"/>
  <c r="O138" i="1" s="1"/>
  <c r="N338" i="1"/>
  <c r="O338" i="1" s="1"/>
  <c r="H232" i="1"/>
  <c r="H150" i="1"/>
  <c r="H136" i="1"/>
  <c r="H201" i="1"/>
  <c r="H235" i="1"/>
  <c r="H244" i="1"/>
  <c r="N384" i="1"/>
  <c r="O384" i="1" s="1"/>
  <c r="K392" i="1"/>
  <c r="N380" i="1"/>
  <c r="O380" i="1" s="1"/>
  <c r="N375" i="1"/>
  <c r="O375" i="1" s="1"/>
  <c r="N371" i="1"/>
  <c r="O371" i="1" s="1"/>
  <c r="K379" i="1"/>
  <c r="O367" i="1"/>
  <c r="N367" i="1"/>
  <c r="N362" i="1"/>
  <c r="O362" i="1"/>
  <c r="O358" i="1"/>
  <c r="N358" i="1"/>
  <c r="K366" i="1"/>
  <c r="N354" i="1"/>
  <c r="N349" i="1"/>
  <c r="O349" i="1" s="1"/>
  <c r="N345" i="1"/>
  <c r="O345" i="1"/>
  <c r="K353" i="1"/>
  <c r="N341" i="1"/>
  <c r="N336" i="1"/>
  <c r="O336" i="1" s="1"/>
  <c r="N332" i="1"/>
  <c r="O332" i="1" s="1"/>
  <c r="K340" i="1"/>
  <c r="N328" i="1"/>
  <c r="O328" i="1" s="1"/>
  <c r="N323" i="1"/>
  <c r="O323" i="1" s="1"/>
  <c r="N319" i="1"/>
  <c r="O319" i="1" s="1"/>
  <c r="K327" i="1"/>
  <c r="N315" i="1"/>
  <c r="O315" i="1" s="1"/>
  <c r="N310" i="1"/>
  <c r="O310" i="1" s="1"/>
  <c r="O306" i="1"/>
  <c r="N306" i="1"/>
  <c r="K314" i="1"/>
  <c r="N302" i="1"/>
  <c r="N297" i="1"/>
  <c r="O297" i="1" s="1"/>
  <c r="N293" i="1"/>
  <c r="O293" i="1"/>
  <c r="K301" i="1"/>
  <c r="N289" i="1"/>
  <c r="N284" i="1"/>
  <c r="O284" i="1" s="1"/>
  <c r="N280" i="1"/>
  <c r="O280" i="1" s="1"/>
  <c r="K288" i="1"/>
  <c r="N276" i="1"/>
  <c r="O276" i="1"/>
  <c r="N271" i="1"/>
  <c r="O271" i="1" s="1"/>
  <c r="N267" i="1"/>
  <c r="O267" i="1" s="1"/>
  <c r="K275" i="1"/>
  <c r="N263" i="1"/>
  <c r="O263" i="1" s="1"/>
  <c r="N258" i="1"/>
  <c r="O258" i="1" s="1"/>
  <c r="N254" i="1"/>
  <c r="O254" i="1" s="1"/>
  <c r="K262" i="1"/>
  <c r="N250" i="1"/>
  <c r="O250" i="1" s="1"/>
  <c r="N245" i="1"/>
  <c r="O245" i="1" s="1"/>
  <c r="N241" i="1"/>
  <c r="O241" i="1"/>
  <c r="K249" i="1"/>
  <c r="N237" i="1"/>
  <c r="O237" i="1"/>
  <c r="N232" i="1"/>
  <c r="O232" i="1" s="1"/>
  <c r="N228" i="1"/>
  <c r="O228" i="1" s="1"/>
  <c r="K236" i="1"/>
  <c r="N224" i="1"/>
  <c r="O224" i="1"/>
  <c r="N219" i="1"/>
  <c r="O219" i="1" s="1"/>
  <c r="N215" i="1"/>
  <c r="O215" i="1" s="1"/>
  <c r="O211" i="1"/>
  <c r="K223" i="1"/>
  <c r="N211" i="1"/>
  <c r="N206" i="1"/>
  <c r="O206" i="1" s="1"/>
  <c r="N202" i="1"/>
  <c r="O202" i="1" s="1"/>
  <c r="K210" i="1"/>
  <c r="N198" i="1"/>
  <c r="N193" i="1"/>
  <c r="O193" i="1" s="1"/>
  <c r="N189" i="1"/>
  <c r="O189" i="1" s="1"/>
  <c r="K197" i="1"/>
  <c r="N185" i="1"/>
  <c r="O185" i="1" s="1"/>
  <c r="N180" i="1"/>
  <c r="O180" i="1" s="1"/>
  <c r="N176" i="1"/>
  <c r="O176" i="1" s="1"/>
  <c r="K184" i="1"/>
  <c r="N172" i="1"/>
  <c r="O172" i="1" s="1"/>
  <c r="N167" i="1"/>
  <c r="O167" i="1" s="1"/>
  <c r="N163" i="1"/>
  <c r="O163" i="1" s="1"/>
  <c r="O159" i="1"/>
  <c r="K171" i="1"/>
  <c r="N159" i="1"/>
  <c r="N154" i="1"/>
  <c r="O154" i="1" s="1"/>
  <c r="N150" i="1"/>
  <c r="O150" i="1" s="1"/>
  <c r="N144" i="1"/>
  <c r="O144" i="1" s="1"/>
  <c r="N140" i="1"/>
  <c r="O140" i="1" s="1"/>
  <c r="N136" i="1"/>
  <c r="O136" i="1" s="1"/>
  <c r="N381" i="1"/>
  <c r="O381" i="1" s="1"/>
  <c r="N372" i="1"/>
  <c r="O372" i="1" s="1"/>
  <c r="O363" i="1"/>
  <c r="N363" i="1"/>
  <c r="N355" i="1"/>
  <c r="O355" i="1" s="1"/>
  <c r="N346" i="1"/>
  <c r="O346" i="1" s="1"/>
  <c r="N337" i="1"/>
  <c r="O337" i="1" s="1"/>
  <c r="N329" i="1"/>
  <c r="O329" i="1" s="1"/>
  <c r="N320" i="1"/>
  <c r="O320" i="1" s="1"/>
  <c r="N311" i="1"/>
  <c r="O311" i="1" s="1"/>
  <c r="N303" i="1"/>
  <c r="O303" i="1" s="1"/>
  <c r="O294" i="1"/>
  <c r="N294" i="1"/>
  <c r="N285" i="1"/>
  <c r="O285" i="1" s="1"/>
  <c r="N277" i="1"/>
  <c r="O277" i="1" s="1"/>
  <c r="N268" i="1"/>
  <c r="O268" i="1" s="1"/>
  <c r="N259" i="1"/>
  <c r="O259" i="1" s="1"/>
  <c r="N251" i="1"/>
  <c r="O251" i="1" s="1"/>
  <c r="N242" i="1"/>
  <c r="O242" i="1" s="1"/>
  <c r="N233" i="1"/>
  <c r="O233" i="1" s="1"/>
  <c r="O225" i="1"/>
  <c r="N225" i="1"/>
  <c r="N216" i="1"/>
  <c r="O216" i="1" s="1"/>
  <c r="N207" i="1"/>
  <c r="O207" i="1" s="1"/>
  <c r="N199" i="1"/>
  <c r="O199" i="1" s="1"/>
  <c r="N190" i="1"/>
  <c r="O190" i="1" s="1"/>
  <c r="H183" i="1"/>
  <c r="H219" i="1"/>
  <c r="H228" i="1"/>
  <c r="H224" i="1"/>
  <c r="H245" i="1"/>
  <c r="H241" i="1"/>
  <c r="H237" i="1"/>
  <c r="H350" i="1"/>
  <c r="H346" i="1"/>
  <c r="H342" i="1"/>
  <c r="H364" i="1"/>
  <c r="H360" i="1"/>
  <c r="H356" i="1"/>
  <c r="H377" i="1"/>
  <c r="H373" i="1"/>
  <c r="H369" i="1"/>
  <c r="H389" i="1"/>
  <c r="H385" i="1"/>
  <c r="H381" i="1"/>
  <c r="H402" i="1"/>
  <c r="H398" i="1"/>
  <c r="H394" i="1"/>
  <c r="N393" i="1"/>
  <c r="N383" i="1"/>
  <c r="O383" i="1" s="1"/>
  <c r="O378" i="1"/>
  <c r="N378" i="1"/>
  <c r="N374" i="1"/>
  <c r="O374" i="1" s="1"/>
  <c r="N370" i="1"/>
  <c r="O370" i="1" s="1"/>
  <c r="N365" i="1"/>
  <c r="O365" i="1" s="1"/>
  <c r="N361" i="1"/>
  <c r="O361" i="1" s="1"/>
  <c r="N357" i="1"/>
  <c r="O357" i="1" s="1"/>
  <c r="N352" i="1"/>
  <c r="O352" i="1" s="1"/>
  <c r="N348" i="1"/>
  <c r="O348" i="1" s="1"/>
  <c r="O344" i="1"/>
  <c r="N344" i="1"/>
  <c r="N339" i="1"/>
  <c r="O339" i="1" s="1"/>
  <c r="N335" i="1"/>
  <c r="O335" i="1" s="1"/>
  <c r="N331" i="1"/>
  <c r="O331" i="1" s="1"/>
  <c r="N326" i="1"/>
  <c r="O326" i="1" s="1"/>
  <c r="N322" i="1"/>
  <c r="O322" i="1" s="1"/>
  <c r="N318" i="1"/>
  <c r="O318" i="1" s="1"/>
  <c r="N313" i="1"/>
  <c r="O313" i="1" s="1"/>
  <c r="O309" i="1"/>
  <c r="N309" i="1"/>
  <c r="N305" i="1"/>
  <c r="O305" i="1" s="1"/>
  <c r="N300" i="1"/>
  <c r="O300" i="1" s="1"/>
  <c r="N296" i="1"/>
  <c r="O296" i="1" s="1"/>
  <c r="N292" i="1"/>
  <c r="O292" i="1" s="1"/>
  <c r="N287" i="1"/>
  <c r="O287" i="1" s="1"/>
  <c r="N283" i="1"/>
  <c r="O283" i="1" s="1"/>
  <c r="N279" i="1"/>
  <c r="O279" i="1" s="1"/>
  <c r="O274" i="1"/>
  <c r="N274" i="1"/>
  <c r="N270" i="1"/>
  <c r="O270" i="1" s="1"/>
  <c r="N266" i="1"/>
  <c r="O266" i="1" s="1"/>
  <c r="N261" i="1"/>
  <c r="O261" i="1" s="1"/>
  <c r="N257" i="1"/>
  <c r="O257" i="1" s="1"/>
  <c r="N253" i="1"/>
  <c r="O253" i="1" s="1"/>
  <c r="N248" i="1"/>
  <c r="O248" i="1" s="1"/>
  <c r="N244" i="1"/>
  <c r="O244" i="1" s="1"/>
  <c r="O240" i="1"/>
  <c r="N240" i="1"/>
  <c r="N235" i="1"/>
  <c r="O235" i="1" s="1"/>
  <c r="N231" i="1"/>
  <c r="O231" i="1" s="1"/>
  <c r="N227" i="1"/>
  <c r="O227" i="1" s="1"/>
  <c r="N222" i="1"/>
  <c r="O222" i="1" s="1"/>
  <c r="N218" i="1"/>
  <c r="O218" i="1" s="1"/>
  <c r="N214" i="1"/>
  <c r="O214" i="1" s="1"/>
  <c r="N209" i="1"/>
  <c r="O209" i="1" s="1"/>
  <c r="O205" i="1"/>
  <c r="N205" i="1"/>
  <c r="N201" i="1"/>
  <c r="O201" i="1" s="1"/>
  <c r="N196" i="1"/>
  <c r="O196" i="1" s="1"/>
  <c r="N192" i="1"/>
  <c r="O192" i="1" s="1"/>
  <c r="N188" i="1"/>
  <c r="O188" i="1" s="1"/>
  <c r="N183" i="1"/>
  <c r="O183" i="1" s="1"/>
  <c r="N179" i="1"/>
  <c r="O179" i="1" s="1"/>
  <c r="N175" i="1"/>
  <c r="O175" i="1" s="1"/>
  <c r="O170" i="1"/>
  <c r="N170" i="1"/>
  <c r="N166" i="1"/>
  <c r="O166" i="1" s="1"/>
  <c r="N162" i="1"/>
  <c r="O162" i="1" s="1"/>
  <c r="N157" i="1"/>
  <c r="O157" i="1" s="1"/>
  <c r="N153" i="1"/>
  <c r="O153" i="1" s="1"/>
  <c r="N149" i="1"/>
  <c r="O149" i="1" s="1"/>
  <c r="N143" i="1"/>
  <c r="O143" i="1" s="1"/>
  <c r="N139" i="1"/>
  <c r="O139" i="1" s="1"/>
  <c r="O135" i="1"/>
  <c r="N135" i="1"/>
  <c r="N130" i="1"/>
  <c r="O130" i="1" s="1"/>
  <c r="N126" i="1"/>
  <c r="O126" i="1" s="1"/>
  <c r="N122" i="1"/>
  <c r="O122" i="1" s="1"/>
  <c r="N117" i="1"/>
  <c r="O117" i="1" s="1"/>
  <c r="N113" i="1"/>
  <c r="O113" i="1" s="1"/>
  <c r="N109" i="1"/>
  <c r="O109" i="1" s="1"/>
  <c r="N104" i="1"/>
  <c r="O104" i="1" s="1"/>
  <c r="O100" i="1"/>
  <c r="N100" i="1"/>
  <c r="N96" i="1"/>
  <c r="O96" i="1" s="1"/>
  <c r="N91" i="1"/>
  <c r="O91" i="1" s="1"/>
  <c r="N87" i="1"/>
  <c r="O87" i="1" s="1"/>
  <c r="N83" i="1"/>
  <c r="O83" i="1" s="1"/>
  <c r="N78" i="1"/>
  <c r="O78" i="1" s="1"/>
  <c r="N74" i="1"/>
  <c r="O74" i="1" s="1"/>
  <c r="N70" i="1"/>
  <c r="O70" i="1" s="1"/>
  <c r="O65" i="1"/>
  <c r="N65" i="1"/>
  <c r="N61" i="1"/>
  <c r="O61" i="1" s="1"/>
  <c r="N57" i="1"/>
  <c r="O57" i="1" s="1"/>
  <c r="N52" i="1"/>
  <c r="O52" i="1" s="1"/>
  <c r="N48" i="1"/>
  <c r="O48" i="1" s="1"/>
  <c r="N44" i="1"/>
  <c r="O44" i="1" s="1"/>
  <c r="N39" i="1"/>
  <c r="O39" i="1" s="1"/>
  <c r="N35" i="1"/>
  <c r="O35" i="1" s="1"/>
  <c r="O31" i="1"/>
  <c r="N31" i="1"/>
  <c r="N26" i="1"/>
  <c r="O26" i="1" s="1"/>
  <c r="N22" i="1"/>
  <c r="O22" i="1" s="1"/>
  <c r="N18" i="1"/>
  <c r="O18" i="1" s="1"/>
  <c r="N13" i="1"/>
  <c r="O13" i="1" s="1"/>
  <c r="K145" i="1"/>
  <c r="N133" i="1"/>
  <c r="N124" i="1"/>
  <c r="O124" i="1" s="1"/>
  <c r="N115" i="1"/>
  <c r="O115" i="1" s="1"/>
  <c r="K119" i="1"/>
  <c r="N107" i="1"/>
  <c r="N98" i="1"/>
  <c r="O98" i="1" s="1"/>
  <c r="N89" i="1"/>
  <c r="O89" i="1" s="1"/>
  <c r="K93" i="1"/>
  <c r="N81" i="1"/>
  <c r="O81" i="1" s="1"/>
  <c r="N72" i="1"/>
  <c r="O72" i="1" s="1"/>
  <c r="N63" i="1"/>
  <c r="O63" i="1" s="1"/>
  <c r="K67" i="1"/>
  <c r="N55" i="1"/>
  <c r="O55" i="1" s="1"/>
  <c r="N46" i="1"/>
  <c r="O46" i="1" s="1"/>
  <c r="O37" i="1"/>
  <c r="N37" i="1"/>
  <c r="K41" i="1"/>
  <c r="N29" i="1"/>
  <c r="O20" i="1"/>
  <c r="N20" i="1"/>
  <c r="N396" i="1"/>
  <c r="N405" i="1" s="1"/>
  <c r="H215" i="1"/>
  <c r="H21" i="1"/>
  <c r="H72" i="1"/>
  <c r="H100" i="1"/>
  <c r="H144" i="1"/>
  <c r="H205" i="1"/>
  <c r="H218" i="1"/>
  <c r="H231" i="1"/>
  <c r="H248" i="1"/>
  <c r="H240" i="1"/>
  <c r="H363" i="1"/>
  <c r="H355" i="1"/>
  <c r="H372" i="1"/>
  <c r="H87" i="1"/>
  <c r="H83" i="1"/>
  <c r="H6" i="1"/>
  <c r="N129" i="1"/>
  <c r="O129" i="1" s="1"/>
  <c r="O121" i="1"/>
  <c r="N121" i="1"/>
  <c r="N112" i="1"/>
  <c r="O112" i="1" s="1"/>
  <c r="N108" i="1"/>
  <c r="O108" i="1" s="1"/>
  <c r="N103" i="1"/>
  <c r="O103" i="1" s="1"/>
  <c r="N99" i="1"/>
  <c r="O99" i="1" s="1"/>
  <c r="N95" i="1"/>
  <c r="O95" i="1" s="1"/>
  <c r="N90" i="1"/>
  <c r="O90" i="1" s="1"/>
  <c r="N86" i="1"/>
  <c r="O86" i="1" s="1"/>
  <c r="O82" i="1"/>
  <c r="N82" i="1"/>
  <c r="N77" i="1"/>
  <c r="O77" i="1" s="1"/>
  <c r="N73" i="1"/>
  <c r="O73" i="1" s="1"/>
  <c r="N69" i="1"/>
  <c r="O69" i="1" s="1"/>
  <c r="N60" i="1"/>
  <c r="O60" i="1" s="1"/>
  <c r="N56" i="1"/>
  <c r="O56" i="1" s="1"/>
  <c r="N51" i="1"/>
  <c r="O51" i="1" s="1"/>
  <c r="N47" i="1"/>
  <c r="O47" i="1" s="1"/>
  <c r="O43" i="1"/>
  <c r="N43" i="1"/>
  <c r="N38" i="1"/>
  <c r="O38" i="1" s="1"/>
  <c r="N34" i="1"/>
  <c r="O34" i="1" s="1"/>
  <c r="N30" i="1"/>
  <c r="O30" i="1" s="1"/>
  <c r="N25" i="1"/>
  <c r="O25" i="1" s="1"/>
  <c r="N21" i="1"/>
  <c r="O21" i="1" s="1"/>
  <c r="N17" i="1"/>
  <c r="O17" i="1" s="1"/>
  <c r="N12" i="1"/>
  <c r="O12" i="1"/>
  <c r="N7" i="1"/>
  <c r="O7" i="1" s="1"/>
  <c r="N376" i="1"/>
  <c r="O376" i="1" s="1"/>
  <c r="N368" i="1"/>
  <c r="O368" i="1" s="1"/>
  <c r="N359" i="1"/>
  <c r="O359" i="1" s="1"/>
  <c r="N350" i="1"/>
  <c r="O350" i="1" s="1"/>
  <c r="N342" i="1"/>
  <c r="O342" i="1" s="1"/>
  <c r="N333" i="1"/>
  <c r="O333" i="1" s="1"/>
  <c r="N324" i="1"/>
  <c r="O324" i="1" s="1"/>
  <c r="N316" i="1"/>
  <c r="O316" i="1" s="1"/>
  <c r="N307" i="1"/>
  <c r="O307" i="1" s="1"/>
  <c r="N298" i="1"/>
  <c r="O298" i="1" s="1"/>
  <c r="N290" i="1"/>
  <c r="O290" i="1" s="1"/>
  <c r="N281" i="1"/>
  <c r="O281" i="1" s="1"/>
  <c r="N272" i="1"/>
  <c r="O272" i="1" s="1"/>
  <c r="N264" i="1"/>
  <c r="O264" i="1" s="1"/>
  <c r="N255" i="1"/>
  <c r="O255" i="1" s="1"/>
  <c r="N246" i="1"/>
  <c r="O246" i="1" s="1"/>
  <c r="N238" i="1"/>
  <c r="O238" i="1" s="1"/>
  <c r="N229" i="1"/>
  <c r="O229" i="1" s="1"/>
  <c r="N220" i="1"/>
  <c r="O220" i="1" s="1"/>
  <c r="N212" i="1"/>
  <c r="O212" i="1" s="1"/>
  <c r="N203" i="1"/>
  <c r="O203" i="1" s="1"/>
  <c r="N194" i="1"/>
  <c r="O194" i="1" s="1"/>
  <c r="N186" i="1"/>
  <c r="O186" i="1" s="1"/>
  <c r="H132" i="1"/>
  <c r="H178" i="1"/>
  <c r="H211" i="1"/>
  <c r="H25" i="1"/>
  <c r="H76" i="1"/>
  <c r="H104" i="1"/>
  <c r="H96" i="1"/>
  <c r="H154" i="1"/>
  <c r="H140" i="1"/>
  <c r="H181" i="1"/>
  <c r="H222" i="1"/>
  <c r="H214" i="1"/>
  <c r="H227" i="1"/>
  <c r="H359" i="1"/>
  <c r="H376" i="1"/>
  <c r="H368" i="1"/>
  <c r="H91" i="1"/>
  <c r="H89" i="1"/>
  <c r="H85" i="1"/>
  <c r="H81" i="1"/>
  <c r="N386" i="1"/>
  <c r="O386" i="1"/>
  <c r="N125" i="1"/>
  <c r="O125" i="1" s="1"/>
  <c r="N116" i="1"/>
  <c r="O116" i="1" s="1"/>
  <c r="N64" i="1"/>
  <c r="O64" i="1" s="1"/>
  <c r="H18" i="1"/>
  <c r="H28" i="1" s="1"/>
  <c r="H22" i="1"/>
  <c r="H26" i="1"/>
  <c r="N128" i="1"/>
  <c r="O128" i="1" s="1"/>
  <c r="K132" i="1"/>
  <c r="N120" i="1"/>
  <c r="O120" i="1"/>
  <c r="N111" i="1"/>
  <c r="O111" i="1" s="1"/>
  <c r="N102" i="1"/>
  <c r="O102" i="1" s="1"/>
  <c r="K106" i="1"/>
  <c r="N94" i="1"/>
  <c r="O94" i="1" s="1"/>
  <c r="N85" i="1"/>
  <c r="O85" i="1"/>
  <c r="N76" i="1"/>
  <c r="O76" i="1" s="1"/>
  <c r="K80" i="1"/>
  <c r="N68" i="1"/>
  <c r="O68" i="1"/>
  <c r="N59" i="1"/>
  <c r="O59" i="1"/>
  <c r="N50" i="1"/>
  <c r="O50" i="1"/>
  <c r="K54" i="1"/>
  <c r="N42" i="1"/>
  <c r="O42" i="1" s="1"/>
  <c r="N33" i="1"/>
  <c r="O33" i="1" s="1"/>
  <c r="N24" i="1"/>
  <c r="O24" i="1"/>
  <c r="K28" i="1"/>
  <c r="N16" i="1"/>
  <c r="O16" i="1"/>
  <c r="N88" i="1"/>
  <c r="O88" i="1" s="1"/>
  <c r="N181" i="1"/>
  <c r="O181" i="1" s="1"/>
  <c r="N173" i="1"/>
  <c r="O173" i="1" s="1"/>
  <c r="N164" i="1"/>
  <c r="O164" i="1" s="1"/>
  <c r="N160" i="1"/>
  <c r="O160" i="1" s="1"/>
  <c r="N151" i="1"/>
  <c r="O151" i="1" s="1"/>
  <c r="N141" i="1"/>
  <c r="O141" i="1" s="1"/>
  <c r="N137" i="1"/>
  <c r="O137" i="1" s="1"/>
  <c r="N131" i="1"/>
  <c r="O131" i="1" s="1"/>
  <c r="N123" i="1"/>
  <c r="O123" i="1" s="1"/>
  <c r="O118" i="1"/>
  <c r="N118" i="1"/>
  <c r="N114" i="1"/>
  <c r="O114" i="1" s="1"/>
  <c r="N110" i="1"/>
  <c r="O110" i="1" s="1"/>
  <c r="N105" i="1"/>
  <c r="O105" i="1" s="1"/>
  <c r="N101" i="1"/>
  <c r="O101" i="1" s="1"/>
  <c r="N97" i="1"/>
  <c r="O97" i="1" s="1"/>
  <c r="N92" i="1"/>
  <c r="O92" i="1" s="1"/>
  <c r="N84" i="1"/>
  <c r="O84" i="1" s="1"/>
  <c r="O79" i="1"/>
  <c r="N79" i="1"/>
  <c r="N75" i="1"/>
  <c r="O75" i="1" s="1"/>
  <c r="N71" i="1"/>
  <c r="O71" i="1" s="1"/>
  <c r="N66" i="1"/>
  <c r="O66" i="1" s="1"/>
  <c r="N62" i="1"/>
  <c r="O62" i="1" s="1"/>
  <c r="N58" i="1"/>
  <c r="O58" i="1" s="1"/>
  <c r="N53" i="1"/>
  <c r="O53" i="1" s="1"/>
  <c r="N45" i="1"/>
  <c r="O45" i="1" s="1"/>
  <c r="N40" i="1"/>
  <c r="O40" i="1" s="1"/>
  <c r="N36" i="1"/>
  <c r="O36" i="1" s="1"/>
  <c r="N32" i="1"/>
  <c r="O32" i="1" s="1"/>
  <c r="N27" i="1"/>
  <c r="O27" i="1" s="1"/>
  <c r="N23" i="1"/>
  <c r="O23" i="1" s="1"/>
  <c r="N19" i="1"/>
  <c r="O19" i="1" s="1"/>
  <c r="H69" i="1"/>
  <c r="H73" i="1"/>
  <c r="H77" i="1"/>
  <c r="H103" i="1"/>
  <c r="H99" i="1"/>
  <c r="H95" i="1"/>
  <c r="H119" i="1"/>
  <c r="H170" i="1"/>
  <c r="H166" i="1"/>
  <c r="H162" i="1"/>
  <c r="H157" i="1"/>
  <c r="H153" i="1"/>
  <c r="H149" i="1"/>
  <c r="H143" i="1"/>
  <c r="H139" i="1"/>
  <c r="H135" i="1"/>
  <c r="H180" i="1"/>
  <c r="H196" i="1"/>
  <c r="H192" i="1"/>
  <c r="H188" i="1"/>
  <c r="H209" i="1"/>
  <c r="H204" i="1"/>
  <c r="H200" i="1"/>
  <c r="H221" i="1"/>
  <c r="H217" i="1"/>
  <c r="H213" i="1"/>
  <c r="H234" i="1"/>
  <c r="H230" i="1"/>
  <c r="H226" i="1"/>
  <c r="H247" i="1"/>
  <c r="H243" i="1"/>
  <c r="H239" i="1"/>
  <c r="H260" i="1"/>
  <c r="H255" i="1"/>
  <c r="H251" i="1"/>
  <c r="H272" i="1"/>
  <c r="H268" i="1"/>
  <c r="H264" i="1"/>
  <c r="H285" i="1"/>
  <c r="H281" i="1"/>
  <c r="H277" i="1"/>
  <c r="H298" i="1"/>
  <c r="H294" i="1"/>
  <c r="H290" i="1"/>
  <c r="H311" i="1"/>
  <c r="H307" i="1"/>
  <c r="H303" i="1"/>
  <c r="H321" i="1"/>
  <c r="H317" i="1"/>
  <c r="H338" i="1"/>
  <c r="H334" i="1"/>
  <c r="H330" i="1"/>
  <c r="H348" i="1"/>
  <c r="H344" i="1"/>
  <c r="H352" i="1"/>
  <c r="H362" i="1"/>
  <c r="H358" i="1"/>
  <c r="H354" i="1"/>
  <c r="H375" i="1"/>
  <c r="H371" i="1"/>
  <c r="H367" i="1"/>
  <c r="H387" i="1"/>
  <c r="H383" i="1"/>
  <c r="H391" i="1"/>
  <c r="H400" i="1"/>
  <c r="H396" i="1"/>
  <c r="H14" i="1"/>
  <c r="H9" i="1"/>
  <c r="H5" i="1"/>
  <c r="H13" i="1"/>
  <c r="N385" i="1"/>
  <c r="O385" i="1" s="1"/>
  <c r="N11" i="1"/>
  <c r="O11" i="1" s="1"/>
  <c r="N177" i="1"/>
  <c r="O177" i="1" s="1"/>
  <c r="N168" i="1"/>
  <c r="O168" i="1" s="1"/>
  <c r="N155" i="1"/>
  <c r="O155" i="1" s="1"/>
  <c r="K158" i="1"/>
  <c r="N146" i="1"/>
  <c r="N127" i="1"/>
  <c r="O127" i="1" s="1"/>
  <c r="N49" i="1"/>
  <c r="O49" i="1" s="1"/>
  <c r="H118" i="1"/>
  <c r="H169" i="1"/>
  <c r="H165" i="1"/>
  <c r="H161" i="1"/>
  <c r="H179" i="1"/>
  <c r="H195" i="1"/>
  <c r="H191" i="1"/>
  <c r="H187" i="1"/>
  <c r="H207" i="1"/>
  <c r="H203" i="1"/>
  <c r="H199" i="1"/>
  <c r="H210" i="1" s="1"/>
  <c r="H220" i="1"/>
  <c r="H216" i="1"/>
  <c r="H212" i="1"/>
  <c r="H233" i="1"/>
  <c r="H229" i="1"/>
  <c r="H225" i="1"/>
  <c r="H246" i="1"/>
  <c r="H242" i="1"/>
  <c r="H238" i="1"/>
  <c r="H259" i="1"/>
  <c r="H254" i="1"/>
  <c r="H250" i="1"/>
  <c r="H262" i="1" s="1"/>
  <c r="H271" i="1"/>
  <c r="H267" i="1"/>
  <c r="H263" i="1"/>
  <c r="H284" i="1"/>
  <c r="H280" i="1"/>
  <c r="H276" i="1"/>
  <c r="H297" i="1"/>
  <c r="H293" i="1"/>
  <c r="H289" i="1"/>
  <c r="H310" i="1"/>
  <c r="H306" i="1"/>
  <c r="H302" i="1"/>
  <c r="H314" i="1" s="1"/>
  <c r="H320" i="1"/>
  <c r="H316" i="1"/>
  <c r="H337" i="1"/>
  <c r="H333" i="1"/>
  <c r="H351" i="1"/>
  <c r="H347" i="1"/>
  <c r="H343" i="1"/>
  <c r="H365" i="1"/>
  <c r="H361" i="1"/>
  <c r="H357" i="1"/>
  <c r="H378" i="1"/>
  <c r="H374" i="1"/>
  <c r="H370" i="1"/>
  <c r="H390" i="1"/>
  <c r="H386" i="1"/>
  <c r="H382" i="1"/>
  <c r="H404" i="1"/>
  <c r="H399" i="1"/>
  <c r="H395" i="1"/>
  <c r="H12" i="1"/>
  <c r="N9" i="1"/>
  <c r="O9" i="1" s="1"/>
  <c r="N5" i="1"/>
  <c r="O5" i="1" s="1"/>
  <c r="H80" i="3"/>
  <c r="H93" i="3"/>
  <c r="H54" i="3"/>
  <c r="H67" i="3"/>
  <c r="N67" i="3"/>
  <c r="O80" i="3"/>
  <c r="N93" i="3"/>
  <c r="N28" i="3"/>
  <c r="N54" i="3"/>
  <c r="O55" i="3"/>
  <c r="O67" i="3" s="1"/>
  <c r="H41" i="3"/>
  <c r="O94" i="3"/>
  <c r="O106" i="3" s="1"/>
  <c r="O16" i="3"/>
  <c r="O28" i="3" s="1"/>
  <c r="N41" i="3"/>
  <c r="O42" i="3"/>
  <c r="O54" i="3" s="1"/>
  <c r="O15" i="3"/>
  <c r="O41" i="3"/>
  <c r="N80" i="3"/>
  <c r="N15" i="3"/>
  <c r="O83" i="3"/>
  <c r="O93" i="3" s="1"/>
  <c r="H301" i="1" l="1"/>
  <c r="H197" i="1"/>
  <c r="H171" i="1"/>
  <c r="N158" i="1"/>
  <c r="H15" i="1"/>
  <c r="H340" i="1"/>
  <c r="H145" i="1"/>
  <c r="O340" i="1"/>
  <c r="H392" i="1"/>
  <c r="O146" i="1"/>
  <c r="O158" i="1" s="1"/>
  <c r="O54" i="1"/>
  <c r="H184" i="1"/>
  <c r="H405" i="1"/>
  <c r="H353" i="1"/>
  <c r="H275" i="1"/>
  <c r="H366" i="1"/>
  <c r="H106" i="1"/>
  <c r="O80" i="1"/>
  <c r="N80" i="1"/>
  <c r="O392" i="1"/>
  <c r="H327" i="1"/>
  <c r="H288" i="1"/>
  <c r="H379" i="1"/>
  <c r="H158" i="1"/>
  <c r="H80" i="1"/>
  <c r="O106" i="1"/>
  <c r="O197" i="1"/>
  <c r="N28" i="1"/>
  <c r="N106" i="1"/>
  <c r="N132" i="1"/>
  <c r="H93" i="1"/>
  <c r="N67" i="1"/>
  <c r="O93" i="1"/>
  <c r="O393" i="1"/>
  <c r="K403" i="1"/>
  <c r="K405" i="1" s="1"/>
  <c r="N171" i="1"/>
  <c r="N223" i="1"/>
  <c r="N236" i="1"/>
  <c r="N275" i="1"/>
  <c r="N288" i="1"/>
  <c r="N327" i="1"/>
  <c r="N379" i="1"/>
  <c r="H223" i="1"/>
  <c r="N41" i="1"/>
  <c r="O67" i="1"/>
  <c r="N145" i="1"/>
  <c r="O184" i="1"/>
  <c r="N210" i="1"/>
  <c r="O262" i="1"/>
  <c r="O275" i="1"/>
  <c r="N314" i="1"/>
  <c r="O327" i="1"/>
  <c r="N366" i="1"/>
  <c r="O379" i="1"/>
  <c r="O396" i="1"/>
  <c r="O29" i="1"/>
  <c r="O41" i="1" s="1"/>
  <c r="N119" i="1"/>
  <c r="O133" i="1"/>
  <c r="O145" i="1" s="1"/>
  <c r="H236" i="1"/>
  <c r="O171" i="1"/>
  <c r="N197" i="1"/>
  <c r="O223" i="1"/>
  <c r="O249" i="1"/>
  <c r="N262" i="1"/>
  <c r="N301" i="1"/>
  <c r="O302" i="1"/>
  <c r="O314" i="1" s="1"/>
  <c r="N353" i="1"/>
  <c r="O354" i="1"/>
  <c r="O366" i="1" s="1"/>
  <c r="N15" i="1"/>
  <c r="O28" i="1"/>
  <c r="N54" i="1"/>
  <c r="O132" i="1"/>
  <c r="N93" i="1"/>
  <c r="O107" i="1"/>
  <c r="O119" i="1" s="1"/>
  <c r="H249" i="1"/>
  <c r="N184" i="1"/>
  <c r="O198" i="1"/>
  <c r="O210" i="1" s="1"/>
  <c r="O236" i="1"/>
  <c r="N249" i="1"/>
  <c r="O288" i="1"/>
  <c r="O289" i="1"/>
  <c r="O301" i="1" s="1"/>
  <c r="N340" i="1"/>
  <c r="O341" i="1"/>
  <c r="O353" i="1" s="1"/>
  <c r="N392" i="1"/>
  <c r="O3" i="1"/>
  <c r="O15" i="1" s="1"/>
  <c r="O405" i="1" l="1"/>
</calcChain>
</file>

<file path=xl/sharedStrings.xml><?xml version="1.0" encoding="utf-8"?>
<sst xmlns="http://schemas.openxmlformats.org/spreadsheetml/2006/main" count="145" uniqueCount="22">
  <si>
    <t>DATE</t>
  </si>
  <si>
    <t>TIME</t>
  </si>
  <si>
    <t>HOT WATER TEMPERATURE</t>
  </si>
  <si>
    <t>COLD WATER TEMPERATURE</t>
  </si>
  <si>
    <t>WBT</t>
  </si>
  <si>
    <t>RANGE</t>
  </si>
  <si>
    <t>APPROACH</t>
  </si>
  <si>
    <t>EFFICIENCY</t>
  </si>
  <si>
    <t>AVG</t>
  </si>
  <si>
    <t>CIRCULATING WATER</t>
  </si>
  <si>
    <t>TEMPERATURE DIFFERENCE</t>
  </si>
  <si>
    <t>EVAPORATION LOSS</t>
  </si>
  <si>
    <t>DRIFT LOSS</t>
  </si>
  <si>
    <t>WATER MAKE UP</t>
  </si>
  <si>
    <t>EVP-3 EFFICIENCY AND MASS BALANCE OF COOLING TOWER (DECEMBER-2021)</t>
  </si>
  <si>
    <t>COC</t>
  </si>
  <si>
    <t>BLOW DOWN LOSS</t>
  </si>
  <si>
    <t>efficiency</t>
  </si>
  <si>
    <t>evp loss</t>
  </si>
  <si>
    <t xml:space="preserve">  </t>
  </si>
  <si>
    <t xml:space="preserve"> EVP-3 EFFICIENCY AND MASS BALANCE OF COOLING TOWER</t>
  </si>
  <si>
    <t>EVP-3 EFFICIENCY AND MASS BALANCE OF COOLING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</si>
</sst>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5" borderId="0" xfId="0" applyFill="1"/>
    <xf numFmtId="0" fontId="0" fillId="6" borderId="0" xfId="0" applyFill="1"/>
    <xf numFmtId="0" fontId="0" fillId="15" borderId="0" xfId="0" applyFill="1"/>
    <xf numFmtId="0" fontId="0" fillId="21" borderId="0" xfId="0" applyFill="1"/>
    <xf numFmtId="0" fontId="1" fillId="21" borderId="0" xfId="0" applyFont="1" applyFill="1" applyAlignme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3" borderId="1" xfId="0" applyFill="1" applyBorder="1"/>
    <xf numFmtId="0" fontId="0" fillId="9" borderId="1" xfId="0" applyFill="1" applyBorder="1"/>
    <xf numFmtId="0" fontId="0" fillId="2" borderId="1" xfId="0" applyFill="1" applyBorder="1"/>
    <xf numFmtId="0" fontId="0" fillId="16" borderId="1" xfId="0" applyFill="1" applyBorder="1"/>
    <xf numFmtId="0" fontId="0" fillId="19" borderId="1" xfId="0" applyFill="1" applyBorder="1"/>
    <xf numFmtId="0" fontId="0" fillId="26" borderId="1" xfId="0" applyFill="1" applyBorder="1"/>
    <xf numFmtId="0" fontId="0" fillId="29" borderId="1" xfId="0" applyFill="1" applyBorder="1"/>
    <xf numFmtId="0" fontId="0" fillId="23" borderId="1" xfId="0" applyFill="1" applyBorder="1"/>
    <xf numFmtId="14" fontId="0" fillId="3" borderId="1" xfId="0" applyNumberFormat="1" applyFill="1" applyBorder="1" applyAlignment="1">
      <alignment vertical="top"/>
    </xf>
    <xf numFmtId="18" fontId="0" fillId="10" borderId="1" xfId="0" applyNumberFormat="1" applyFill="1" applyBorder="1"/>
    <xf numFmtId="0" fontId="0" fillId="11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0" borderId="1" xfId="0" applyFill="1" applyBorder="1"/>
    <xf numFmtId="0" fontId="0" fillId="18" borderId="1" xfId="0" applyFill="1" applyBorder="1"/>
    <xf numFmtId="0" fontId="0" fillId="17" borderId="1" xfId="0" applyFill="1" applyBorder="1"/>
    <xf numFmtId="0" fontId="0" fillId="22" borderId="1" xfId="0" applyFill="1" applyBorder="1"/>
    <xf numFmtId="0" fontId="0" fillId="27" borderId="1" xfId="0" applyFill="1" applyBorder="1"/>
    <xf numFmtId="0" fontId="0" fillId="30" borderId="1" xfId="0" applyFill="1" applyBorder="1"/>
    <xf numFmtId="0" fontId="0" fillId="24" borderId="1" xfId="0" applyFill="1" applyBorder="1"/>
    <xf numFmtId="0" fontId="0" fillId="3" borderId="1" xfId="0" applyFill="1" applyBorder="1" applyAlignment="1">
      <alignment vertical="top"/>
    </xf>
    <xf numFmtId="0" fontId="0" fillId="11" borderId="1" xfId="0" applyFill="1" applyBorder="1" applyAlignment="1">
      <alignment vertical="center"/>
    </xf>
    <xf numFmtId="0" fontId="0" fillId="12" borderId="1" xfId="0" applyFont="1" applyFill="1" applyBorder="1"/>
    <xf numFmtId="0" fontId="0" fillId="15" borderId="1" xfId="0" applyFill="1" applyBorder="1"/>
    <xf numFmtId="0" fontId="1" fillId="12" borderId="1" xfId="0" applyFont="1" applyFill="1" applyBorder="1"/>
    <xf numFmtId="0" fontId="0" fillId="0" borderId="0" xfId="0" applyAlignment="1">
      <alignment horizontal="center"/>
    </xf>
    <xf numFmtId="0" fontId="0" fillId="28" borderId="1" xfId="0" applyFill="1" applyBorder="1"/>
    <xf numFmtId="0" fontId="0" fillId="20" borderId="1" xfId="0" applyFill="1" applyBorder="1"/>
    <xf numFmtId="0" fontId="0" fillId="31" borderId="1" xfId="0" applyFill="1" applyBorder="1"/>
    <xf numFmtId="14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25" borderId="1" xfId="0" applyFill="1" applyBorder="1"/>
    <xf numFmtId="0" fontId="0" fillId="32" borderId="1" xfId="0" applyFill="1" applyBorder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00FFFF"/>
      <color rgb="FF66FF33"/>
      <color rgb="FF99CC00"/>
      <color rgb="FF669900"/>
      <color rgb="FF00CC66"/>
      <color rgb="FFFFCCFF"/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efficiency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GRAPHS!$B$2:$B$32</c:f>
              <c:numCache>
                <c:formatCode>General</c:formatCode>
                <c:ptCount val="31"/>
                <c:pt idx="0">
                  <c:v>33.652299999999997</c:v>
                </c:pt>
                <c:pt idx="1">
                  <c:v>33.556138500000003</c:v>
                </c:pt>
                <c:pt idx="2">
                  <c:v>33.763236750000004</c:v>
                </c:pt>
                <c:pt idx="3">
                  <c:v>31.482248999999999</c:v>
                </c:pt>
                <c:pt idx="4">
                  <c:v>34.407609000000001</c:v>
                </c:pt>
                <c:pt idx="5">
                  <c:v>32.795295000000003</c:v>
                </c:pt>
                <c:pt idx="6">
                  <c:v>33.000761249999996</c:v>
                </c:pt>
                <c:pt idx="7">
                  <c:v>31.119320250000001</c:v>
                </c:pt>
                <c:pt idx="8">
                  <c:v>34.137831749999997</c:v>
                </c:pt>
                <c:pt idx="9">
                  <c:v>32.425698000000011</c:v>
                </c:pt>
                <c:pt idx="10">
                  <c:v>33.298422749999993</c:v>
                </c:pt>
                <c:pt idx="11">
                  <c:v>31.689415636363627</c:v>
                </c:pt>
                <c:pt idx="12">
                  <c:v>34.174322249999996</c:v>
                </c:pt>
                <c:pt idx="13">
                  <c:v>27.797243999999996</c:v>
                </c:pt>
                <c:pt idx="14">
                  <c:v>31.709785500000006</c:v>
                </c:pt>
                <c:pt idx="15">
                  <c:v>30.784900499999992</c:v>
                </c:pt>
                <c:pt idx="16">
                  <c:v>32.519907749999994</c:v>
                </c:pt>
                <c:pt idx="17">
                  <c:v>32.355496499999994</c:v>
                </c:pt>
                <c:pt idx="18">
                  <c:v>33.332146499999986</c:v>
                </c:pt>
                <c:pt idx="19">
                  <c:v>30.669691499999999</c:v>
                </c:pt>
                <c:pt idx="20">
                  <c:v>33.5500185</c:v>
                </c:pt>
                <c:pt idx="21">
                  <c:v>32.729607000000009</c:v>
                </c:pt>
                <c:pt idx="22">
                  <c:v>30.141344249999992</c:v>
                </c:pt>
                <c:pt idx="23">
                  <c:v>35.741998500000001</c:v>
                </c:pt>
                <c:pt idx="24">
                  <c:v>25.433508749999998</c:v>
                </c:pt>
                <c:pt idx="25">
                  <c:v>27.196617</c:v>
                </c:pt>
                <c:pt idx="26">
                  <c:v>32.637883500000001</c:v>
                </c:pt>
                <c:pt idx="27">
                  <c:v>32.449514999999998</c:v>
                </c:pt>
                <c:pt idx="28">
                  <c:v>33.673642499999993</c:v>
                </c:pt>
                <c:pt idx="29">
                  <c:v>34.113657749999994</c:v>
                </c:pt>
                <c:pt idx="30">
                  <c:v>31.747074816666668</c:v>
                </c:pt>
              </c:numCache>
            </c:numRef>
          </c:cat>
          <c:val>
            <c:numRef>
              <c:f>GRAPHS!$A$2:$A$32</c:f>
              <c:numCache>
                <c:formatCode>General</c:formatCode>
                <c:ptCount val="31"/>
                <c:pt idx="0">
                  <c:v>48.047536685324438</c:v>
                </c:pt>
                <c:pt idx="1">
                  <c:v>48.771734502408471</c:v>
                </c:pt>
                <c:pt idx="2">
                  <c:v>48.49490078261848</c:v>
                </c:pt>
                <c:pt idx="3">
                  <c:v>47.661033345220709</c:v>
                </c:pt>
                <c:pt idx="4">
                  <c:v>44.663895000438544</c:v>
                </c:pt>
                <c:pt idx="5">
                  <c:v>43.727212448288789</c:v>
                </c:pt>
                <c:pt idx="6">
                  <c:v>43.095982210402696</c:v>
                </c:pt>
                <c:pt idx="7">
                  <c:v>43.842827988522579</c:v>
                </c:pt>
                <c:pt idx="8">
                  <c:v>43.595960636066131</c:v>
                </c:pt>
                <c:pt idx="9">
                  <c:v>43.964055687818664</c:v>
                </c:pt>
                <c:pt idx="10">
                  <c:v>43.186180582054156</c:v>
                </c:pt>
                <c:pt idx="11">
                  <c:v>45.06236202144887</c:v>
                </c:pt>
                <c:pt idx="12">
                  <c:v>47.319579200883112</c:v>
                </c:pt>
                <c:pt idx="13">
                  <c:v>49.676495995743174</c:v>
                </c:pt>
                <c:pt idx="14">
                  <c:v>51.216212764125402</c:v>
                </c:pt>
                <c:pt idx="15">
                  <c:v>50.590559110376077</c:v>
                </c:pt>
                <c:pt idx="16">
                  <c:v>53.355760054803341</c:v>
                </c:pt>
                <c:pt idx="17">
                  <c:v>55.678080233621408</c:v>
                </c:pt>
                <c:pt idx="18">
                  <c:v>53.472347020587456</c:v>
                </c:pt>
                <c:pt idx="19">
                  <c:v>53.684009106545837</c:v>
                </c:pt>
                <c:pt idx="20">
                  <c:v>57.86460978396741</c:v>
                </c:pt>
                <c:pt idx="21">
                  <c:v>56.729361996672701</c:v>
                </c:pt>
                <c:pt idx="22">
                  <c:v>53.770199440768955</c:v>
                </c:pt>
                <c:pt idx="23">
                  <c:v>50.89181766308608</c:v>
                </c:pt>
                <c:pt idx="24">
                  <c:v>45.512299084915291</c:v>
                </c:pt>
                <c:pt idx="25">
                  <c:v>45.859288904731315</c:v>
                </c:pt>
                <c:pt idx="26">
                  <c:v>46.573442406676129</c:v>
                </c:pt>
                <c:pt idx="27">
                  <c:v>46.799884461201209</c:v>
                </c:pt>
                <c:pt idx="28">
                  <c:v>45.741180733422361</c:v>
                </c:pt>
                <c:pt idx="29">
                  <c:v>46.416044462642454</c:v>
                </c:pt>
                <c:pt idx="30">
                  <c:v>46.973123445542662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5-4CA1-8E93-8F5CF13FF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524408"/>
        <c:axId val="276524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effi</c:v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GRAPHS!$B$2:$B$32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33.652299999999997</c:v>
                      </c:pt>
                      <c:pt idx="1">
                        <c:v>33.556138500000003</c:v>
                      </c:pt>
                      <c:pt idx="2">
                        <c:v>33.763236750000004</c:v>
                      </c:pt>
                      <c:pt idx="3">
                        <c:v>31.482248999999999</c:v>
                      </c:pt>
                      <c:pt idx="4">
                        <c:v>34.407609000000001</c:v>
                      </c:pt>
                      <c:pt idx="5">
                        <c:v>32.795295000000003</c:v>
                      </c:pt>
                      <c:pt idx="6">
                        <c:v>33.000761249999996</c:v>
                      </c:pt>
                      <c:pt idx="7">
                        <c:v>31.119320250000001</c:v>
                      </c:pt>
                      <c:pt idx="8">
                        <c:v>34.137831749999997</c:v>
                      </c:pt>
                      <c:pt idx="9">
                        <c:v>32.425698000000011</c:v>
                      </c:pt>
                      <c:pt idx="10">
                        <c:v>33.298422749999993</c:v>
                      </c:pt>
                      <c:pt idx="11">
                        <c:v>31.689415636363627</c:v>
                      </c:pt>
                      <c:pt idx="12">
                        <c:v>34.174322249999996</c:v>
                      </c:pt>
                      <c:pt idx="13">
                        <c:v>27.797243999999996</c:v>
                      </c:pt>
                      <c:pt idx="14">
                        <c:v>31.709785500000006</c:v>
                      </c:pt>
                      <c:pt idx="15">
                        <c:v>30.784900499999992</c:v>
                      </c:pt>
                      <c:pt idx="16">
                        <c:v>32.519907749999994</c:v>
                      </c:pt>
                      <c:pt idx="17">
                        <c:v>32.355496499999994</c:v>
                      </c:pt>
                      <c:pt idx="18">
                        <c:v>33.332146499999986</c:v>
                      </c:pt>
                      <c:pt idx="19">
                        <c:v>30.669691499999999</c:v>
                      </c:pt>
                      <c:pt idx="20">
                        <c:v>33.5500185</c:v>
                      </c:pt>
                      <c:pt idx="21">
                        <c:v>32.729607000000009</c:v>
                      </c:pt>
                      <c:pt idx="22">
                        <c:v>30.141344249999992</c:v>
                      </c:pt>
                      <c:pt idx="23">
                        <c:v>35.741998500000001</c:v>
                      </c:pt>
                      <c:pt idx="24">
                        <c:v>25.433508749999998</c:v>
                      </c:pt>
                      <c:pt idx="25">
                        <c:v>27.196617</c:v>
                      </c:pt>
                      <c:pt idx="26">
                        <c:v>32.637883500000001</c:v>
                      </c:pt>
                      <c:pt idx="27">
                        <c:v>32.449514999999998</c:v>
                      </c:pt>
                      <c:pt idx="28">
                        <c:v>33.673642499999993</c:v>
                      </c:pt>
                      <c:pt idx="29">
                        <c:v>34.113657749999994</c:v>
                      </c:pt>
                      <c:pt idx="30">
                        <c:v>31.747074816666668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GRAPHS!$A$2:$A$32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48.047536685324438</c:v>
                      </c:pt>
                      <c:pt idx="1">
                        <c:v>48.771734502408471</c:v>
                      </c:pt>
                      <c:pt idx="2">
                        <c:v>48.49490078261848</c:v>
                      </c:pt>
                      <c:pt idx="3">
                        <c:v>47.661033345220709</c:v>
                      </c:pt>
                      <c:pt idx="4">
                        <c:v>44.663895000438544</c:v>
                      </c:pt>
                      <c:pt idx="5">
                        <c:v>43.727212448288789</c:v>
                      </c:pt>
                      <c:pt idx="6">
                        <c:v>43.095982210402696</c:v>
                      </c:pt>
                      <c:pt idx="7">
                        <c:v>43.842827988522579</c:v>
                      </c:pt>
                      <c:pt idx="8">
                        <c:v>43.595960636066131</c:v>
                      </c:pt>
                      <c:pt idx="9">
                        <c:v>43.964055687818664</c:v>
                      </c:pt>
                      <c:pt idx="10">
                        <c:v>43.186180582054156</c:v>
                      </c:pt>
                      <c:pt idx="11">
                        <c:v>45.06236202144887</c:v>
                      </c:pt>
                      <c:pt idx="12">
                        <c:v>47.319579200883112</c:v>
                      </c:pt>
                      <c:pt idx="13">
                        <c:v>49.676495995743174</c:v>
                      </c:pt>
                      <c:pt idx="14">
                        <c:v>51.216212764125402</c:v>
                      </c:pt>
                      <c:pt idx="15">
                        <c:v>50.590559110376077</c:v>
                      </c:pt>
                      <c:pt idx="16">
                        <c:v>53.355760054803341</c:v>
                      </c:pt>
                      <c:pt idx="17">
                        <c:v>55.678080233621408</c:v>
                      </c:pt>
                      <c:pt idx="18">
                        <c:v>53.472347020587456</c:v>
                      </c:pt>
                      <c:pt idx="19">
                        <c:v>53.684009106545837</c:v>
                      </c:pt>
                      <c:pt idx="20">
                        <c:v>57.86460978396741</c:v>
                      </c:pt>
                      <c:pt idx="21">
                        <c:v>56.729361996672701</c:v>
                      </c:pt>
                      <c:pt idx="22">
                        <c:v>53.770199440768955</c:v>
                      </c:pt>
                      <c:pt idx="23">
                        <c:v>50.89181766308608</c:v>
                      </c:pt>
                      <c:pt idx="24">
                        <c:v>45.512299084915291</c:v>
                      </c:pt>
                      <c:pt idx="25">
                        <c:v>45.859288904731315</c:v>
                      </c:pt>
                      <c:pt idx="26">
                        <c:v>46.573442406676129</c:v>
                      </c:pt>
                      <c:pt idx="27">
                        <c:v>46.799884461201209</c:v>
                      </c:pt>
                      <c:pt idx="28">
                        <c:v>45.741180733422361</c:v>
                      </c:pt>
                      <c:pt idx="29">
                        <c:v>46.416044462642454</c:v>
                      </c:pt>
                      <c:pt idx="30">
                        <c:v>46.973123445542662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D5-4C1E-9BB8-213482686381}"/>
                  </c:ext>
                </c:extLst>
              </c15:ser>
            </c15:filteredLineSeries>
          </c:ext>
        </c:extLst>
      </c:lineChart>
      <c:catAx>
        <c:axId val="27652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24736"/>
        <c:crosses val="autoZero"/>
        <c:auto val="1"/>
        <c:lblAlgn val="ctr"/>
        <c:lblOffset val="100"/>
        <c:noMultiLvlLbl val="0"/>
      </c:catAx>
      <c:valAx>
        <c:axId val="2765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2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efficiency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GRAPHS!$R$2:$R$32</c:f>
              <c:numCache>
                <c:formatCode>General</c:formatCode>
                <c:ptCount val="31"/>
                <c:pt idx="0">
                  <c:v>32.683936500000002</c:v>
                </c:pt>
                <c:pt idx="1">
                  <c:v>30.10042949999999</c:v>
                </c:pt>
                <c:pt idx="2">
                  <c:v>34.21445924999999</c:v>
                </c:pt>
                <c:pt idx="3">
                  <c:v>33.324789750000001</c:v>
                </c:pt>
                <c:pt idx="4">
                  <c:v>30.819044999999999</c:v>
                </c:pt>
                <c:pt idx="5">
                  <c:v>25.896614249999999</c:v>
                </c:pt>
                <c:pt idx="6">
                  <c:v>29.320920000000005</c:v>
                </c:pt>
                <c:pt idx="7">
                  <c:v>34.512617999999996</c:v>
                </c:pt>
                <c:pt idx="8">
                  <c:v>34.1059695</c:v>
                </c:pt>
                <c:pt idx="9">
                  <c:v>19.975475999999997</c:v>
                </c:pt>
                <c:pt idx="10">
                  <c:v>27.936779999999995</c:v>
                </c:pt>
                <c:pt idx="11">
                  <c:v>35.239865250000001</c:v>
                </c:pt>
                <c:pt idx="12">
                  <c:v>31.509661499999996</c:v>
                </c:pt>
                <c:pt idx="13">
                  <c:v>34.618404749999989</c:v>
                </c:pt>
                <c:pt idx="14">
                  <c:v>35.899231499999992</c:v>
                </c:pt>
                <c:pt idx="15">
                  <c:v>35.876230499999998</c:v>
                </c:pt>
                <c:pt idx="16">
                  <c:v>34.908887999999983</c:v>
                </c:pt>
                <c:pt idx="17">
                  <c:v>33.807351750000002</c:v>
                </c:pt>
                <c:pt idx="18">
                  <c:v>34.492205249999991</c:v>
                </c:pt>
                <c:pt idx="19">
                  <c:v>28.546115249999996</c:v>
                </c:pt>
                <c:pt idx="20">
                  <c:v>31.367919750000009</c:v>
                </c:pt>
                <c:pt idx="21">
                  <c:v>30.749531999999999</c:v>
                </c:pt>
                <c:pt idx="22">
                  <c:v>32.148092250000005</c:v>
                </c:pt>
                <c:pt idx="23">
                  <c:v>31.791449249999999</c:v>
                </c:pt>
                <c:pt idx="24">
                  <c:v>31.397703750000002</c:v>
                </c:pt>
                <c:pt idx="25">
                  <c:v>56.954836499999999</c:v>
                </c:pt>
                <c:pt idx="26">
                  <c:v>32.617483499999999</c:v>
                </c:pt>
                <c:pt idx="27">
                  <c:v>28.136368500000003</c:v>
                </c:pt>
                <c:pt idx="28">
                  <c:v>30.345229499999999</c:v>
                </c:pt>
                <c:pt idx="29">
                  <c:v>31.400929500000004</c:v>
                </c:pt>
                <c:pt idx="30">
                  <c:v>28.609125750000004</c:v>
                </c:pt>
              </c:numCache>
            </c:numRef>
          </c:cat>
          <c:val>
            <c:numRef>
              <c:f>GRAPHS!$Q$2:$Q$32</c:f>
              <c:numCache>
                <c:formatCode>General</c:formatCode>
                <c:ptCount val="31"/>
                <c:pt idx="0">
                  <c:v>48.379966638712972</c:v>
                </c:pt>
                <c:pt idx="1">
                  <c:v>49.239602066276518</c:v>
                </c:pt>
                <c:pt idx="2">
                  <c:v>49.583577738433263</c:v>
                </c:pt>
                <c:pt idx="3">
                  <c:v>49.296397242522914</c:v>
                </c:pt>
                <c:pt idx="4">
                  <c:v>50.82703986776658</c:v>
                </c:pt>
                <c:pt idx="5">
                  <c:v>44.030114703126173</c:v>
                </c:pt>
                <c:pt idx="6">
                  <c:v>43.85219137253528</c:v>
                </c:pt>
                <c:pt idx="7">
                  <c:v>48.990620905606058</c:v>
                </c:pt>
                <c:pt idx="8">
                  <c:v>46.146575320307413</c:v>
                </c:pt>
                <c:pt idx="9">
                  <c:v>37.098024570950052</c:v>
                </c:pt>
                <c:pt idx="10">
                  <c:v>46.56408476064157</c:v>
                </c:pt>
                <c:pt idx="11">
                  <c:v>47.436078047020366</c:v>
                </c:pt>
                <c:pt idx="12">
                  <c:v>44.579865811448656</c:v>
                </c:pt>
                <c:pt idx="13">
                  <c:v>46.17239045732552</c:v>
                </c:pt>
                <c:pt idx="14">
                  <c:v>47.706776264156048</c:v>
                </c:pt>
                <c:pt idx="15">
                  <c:v>47.231700426365855</c:v>
                </c:pt>
                <c:pt idx="16">
                  <c:v>48.221219907095097</c:v>
                </c:pt>
                <c:pt idx="17">
                  <c:v>50.144039134388898</c:v>
                </c:pt>
                <c:pt idx="18">
                  <c:v>49.424166424924415</c:v>
                </c:pt>
                <c:pt idx="19">
                  <c:v>43.951644871961122</c:v>
                </c:pt>
                <c:pt idx="20">
                  <c:v>46.151448228987825</c:v>
                </c:pt>
                <c:pt idx="21">
                  <c:v>45.994622379168909</c:v>
                </c:pt>
                <c:pt idx="22">
                  <c:v>43.83313134031355</c:v>
                </c:pt>
                <c:pt idx="23">
                  <c:v>50.578872679886501</c:v>
                </c:pt>
                <c:pt idx="24">
                  <c:v>50.720049692816069</c:v>
                </c:pt>
                <c:pt idx="25">
                  <c:v>50.297905028217286</c:v>
                </c:pt>
                <c:pt idx="26">
                  <c:v>54.064741372637663</c:v>
                </c:pt>
                <c:pt idx="27">
                  <c:v>55.336167810641292</c:v>
                </c:pt>
                <c:pt idx="28">
                  <c:v>59.055967873399403</c:v>
                </c:pt>
                <c:pt idx="29">
                  <c:v>56.854085063476106</c:v>
                </c:pt>
                <c:pt idx="30">
                  <c:v>57.928681904151233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9-4E19-990C-4F0A3774B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772944"/>
        <c:axId val="485773600"/>
      </c:lineChart>
      <c:catAx>
        <c:axId val="485772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73600"/>
        <c:crosses val="autoZero"/>
        <c:auto val="1"/>
        <c:lblAlgn val="ctr"/>
        <c:lblOffset val="100"/>
        <c:noMultiLvlLbl val="0"/>
      </c:catAx>
      <c:valAx>
        <c:axId val="485773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77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GRAPHS!$AF$6</c:f>
              <c:strCache>
                <c:ptCount val="1"/>
                <c:pt idx="0">
                  <c:v>61.90586552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GRAPHS!$AG$7:$AG$34</c:f>
              <c:numCache>
                <c:formatCode>General</c:formatCode>
                <c:ptCount val="28"/>
                <c:pt idx="0">
                  <c:v>25.508822999999996</c:v>
                </c:pt>
                <c:pt idx="1">
                  <c:v>27.083014499999994</c:v>
                </c:pt>
                <c:pt idx="2">
                  <c:v>29.083680749999996</c:v>
                </c:pt>
                <c:pt idx="3">
                  <c:v>30.717389249999993</c:v>
                </c:pt>
                <c:pt idx="4">
                  <c:v>26.986407750000009</c:v>
                </c:pt>
                <c:pt idx="5">
                  <c:v>29.098865999999987</c:v>
                </c:pt>
                <c:pt idx="6">
                  <c:v>30.826261500000005</c:v>
                </c:pt>
                <c:pt idx="7">
                  <c:v>30.013092</c:v>
                </c:pt>
                <c:pt idx="8">
                  <c:v>27.547433250000001</c:v>
                </c:pt>
                <c:pt idx="9">
                  <c:v>28.549430249999997</c:v>
                </c:pt>
                <c:pt idx="10">
                  <c:v>27.872073749999998</c:v>
                </c:pt>
                <c:pt idx="11">
                  <c:v>28.738270499999995</c:v>
                </c:pt>
                <c:pt idx="12">
                  <c:v>27.823215749999999</c:v>
                </c:pt>
                <c:pt idx="13">
                  <c:v>30.440331750000002</c:v>
                </c:pt>
                <c:pt idx="14">
                  <c:v>27.471532499999995</c:v>
                </c:pt>
                <c:pt idx="15">
                  <c:v>29.243807999999998</c:v>
                </c:pt>
                <c:pt idx="16">
                  <c:v>28.863998249999995</c:v>
                </c:pt>
                <c:pt idx="17">
                  <c:v>29.688438750000003</c:v>
                </c:pt>
                <c:pt idx="18">
                  <c:v>27.814864499999988</c:v>
                </c:pt>
                <c:pt idx="19">
                  <c:v>24.756420000000002</c:v>
                </c:pt>
                <c:pt idx="20">
                  <c:v>28.080485249999995</c:v>
                </c:pt>
                <c:pt idx="21">
                  <c:v>27.225967499999999</c:v>
                </c:pt>
                <c:pt idx="22">
                  <c:v>28.409091000000004</c:v>
                </c:pt>
              </c:numCache>
            </c:numRef>
          </c:cat>
          <c:val>
            <c:numRef>
              <c:f>GRAPHS!$AF$7:$AF$34</c:f>
              <c:numCache>
                <c:formatCode>General</c:formatCode>
                <c:ptCount val="28"/>
                <c:pt idx="0">
                  <c:v>53.50389122026391</c:v>
                </c:pt>
                <c:pt idx="1">
                  <c:v>49.126654582455934</c:v>
                </c:pt>
                <c:pt idx="2">
                  <c:v>46.896885644995699</c:v>
                </c:pt>
                <c:pt idx="3">
                  <c:v>47.919877524022127</c:v>
                </c:pt>
                <c:pt idx="4">
                  <c:v>41.927536602867065</c:v>
                </c:pt>
                <c:pt idx="5">
                  <c:v>45.745696773160716</c:v>
                </c:pt>
                <c:pt idx="6">
                  <c:v>51.79509069910241</c:v>
                </c:pt>
                <c:pt idx="7">
                  <c:v>51.191572437202815</c:v>
                </c:pt>
                <c:pt idx="8">
                  <c:v>46.754153366944372</c:v>
                </c:pt>
                <c:pt idx="9">
                  <c:v>48.704364798808747</c:v>
                </c:pt>
                <c:pt idx="10">
                  <c:v>48.184564546600633</c:v>
                </c:pt>
                <c:pt idx="11">
                  <c:v>45.743733875444804</c:v>
                </c:pt>
                <c:pt idx="12">
                  <c:v>46.0887456032251</c:v>
                </c:pt>
                <c:pt idx="13">
                  <c:v>45.795672129233282</c:v>
                </c:pt>
                <c:pt idx="14">
                  <c:v>45.936918600518943</c:v>
                </c:pt>
                <c:pt idx="15">
                  <c:v>45.777947723079571</c:v>
                </c:pt>
                <c:pt idx="16">
                  <c:v>45.346607695934523</c:v>
                </c:pt>
                <c:pt idx="17">
                  <c:v>43.41713646096926</c:v>
                </c:pt>
                <c:pt idx="18">
                  <c:v>45.200198431230774</c:v>
                </c:pt>
                <c:pt idx="19">
                  <c:v>42.500938175975627</c:v>
                </c:pt>
                <c:pt idx="20">
                  <c:v>49.269402128023245</c:v>
                </c:pt>
                <c:pt idx="21">
                  <c:v>48.482748751619624</c:v>
                </c:pt>
                <c:pt idx="22">
                  <c:v>53.336341058677156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3-46A0-A50A-0F7699969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18720"/>
        <c:axId val="3903164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GRAPHS!$AG$6</c15:sqref>
                        </c15:formulaRef>
                      </c:ext>
                    </c:extLst>
                    <c:strCache>
                      <c:ptCount val="1"/>
                      <c:pt idx="0">
                        <c:v>32.32136475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GRAPHS!$AG$7:$AG$34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25.508822999999996</c:v>
                      </c:pt>
                      <c:pt idx="1">
                        <c:v>27.083014499999994</c:v>
                      </c:pt>
                      <c:pt idx="2">
                        <c:v>29.083680749999996</c:v>
                      </c:pt>
                      <c:pt idx="3">
                        <c:v>30.717389249999993</c:v>
                      </c:pt>
                      <c:pt idx="4">
                        <c:v>26.986407750000009</c:v>
                      </c:pt>
                      <c:pt idx="5">
                        <c:v>29.098865999999987</c:v>
                      </c:pt>
                      <c:pt idx="6">
                        <c:v>30.826261500000005</c:v>
                      </c:pt>
                      <c:pt idx="7">
                        <c:v>30.013092</c:v>
                      </c:pt>
                      <c:pt idx="8">
                        <c:v>27.547433250000001</c:v>
                      </c:pt>
                      <c:pt idx="9">
                        <c:v>28.549430249999997</c:v>
                      </c:pt>
                      <c:pt idx="10">
                        <c:v>27.872073749999998</c:v>
                      </c:pt>
                      <c:pt idx="11">
                        <c:v>28.738270499999995</c:v>
                      </c:pt>
                      <c:pt idx="12">
                        <c:v>27.823215749999999</c:v>
                      </c:pt>
                      <c:pt idx="13">
                        <c:v>30.440331750000002</c:v>
                      </c:pt>
                      <c:pt idx="14">
                        <c:v>27.471532499999995</c:v>
                      </c:pt>
                      <c:pt idx="15">
                        <c:v>29.243807999999998</c:v>
                      </c:pt>
                      <c:pt idx="16">
                        <c:v>28.863998249999995</c:v>
                      </c:pt>
                      <c:pt idx="17">
                        <c:v>29.688438750000003</c:v>
                      </c:pt>
                      <c:pt idx="18">
                        <c:v>27.814864499999988</c:v>
                      </c:pt>
                      <c:pt idx="19">
                        <c:v>24.756420000000002</c:v>
                      </c:pt>
                      <c:pt idx="20">
                        <c:v>28.080485249999995</c:v>
                      </c:pt>
                      <c:pt idx="21">
                        <c:v>27.225967499999999</c:v>
                      </c:pt>
                      <c:pt idx="22">
                        <c:v>28.409091000000004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GRAPHS!$AG$7:$AG$34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25.508822999999996</c:v>
                      </c:pt>
                      <c:pt idx="1">
                        <c:v>27.083014499999994</c:v>
                      </c:pt>
                      <c:pt idx="2">
                        <c:v>29.083680749999996</c:v>
                      </c:pt>
                      <c:pt idx="3">
                        <c:v>30.717389249999993</c:v>
                      </c:pt>
                      <c:pt idx="4">
                        <c:v>26.986407750000009</c:v>
                      </c:pt>
                      <c:pt idx="5">
                        <c:v>29.098865999999987</c:v>
                      </c:pt>
                      <c:pt idx="6">
                        <c:v>30.826261500000005</c:v>
                      </c:pt>
                      <c:pt idx="7">
                        <c:v>30.013092</c:v>
                      </c:pt>
                      <c:pt idx="8">
                        <c:v>27.547433250000001</c:v>
                      </c:pt>
                      <c:pt idx="9">
                        <c:v>28.549430249999997</c:v>
                      </c:pt>
                      <c:pt idx="10">
                        <c:v>27.872073749999998</c:v>
                      </c:pt>
                      <c:pt idx="11">
                        <c:v>28.738270499999995</c:v>
                      </c:pt>
                      <c:pt idx="12">
                        <c:v>27.823215749999999</c:v>
                      </c:pt>
                      <c:pt idx="13">
                        <c:v>30.440331750000002</c:v>
                      </c:pt>
                      <c:pt idx="14">
                        <c:v>27.471532499999995</c:v>
                      </c:pt>
                      <c:pt idx="15">
                        <c:v>29.243807999999998</c:v>
                      </c:pt>
                      <c:pt idx="16">
                        <c:v>28.863998249999995</c:v>
                      </c:pt>
                      <c:pt idx="17">
                        <c:v>29.688438750000003</c:v>
                      </c:pt>
                      <c:pt idx="18">
                        <c:v>27.814864499999988</c:v>
                      </c:pt>
                      <c:pt idx="19">
                        <c:v>24.756420000000002</c:v>
                      </c:pt>
                      <c:pt idx="20">
                        <c:v>28.080485249999995</c:v>
                      </c:pt>
                      <c:pt idx="21">
                        <c:v>27.225967499999999</c:v>
                      </c:pt>
                      <c:pt idx="22">
                        <c:v>28.409091000000004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983-46A0-A50A-0F7699969F65}"/>
                  </c:ext>
                </c:extLst>
              </c15:ser>
            </c15:filteredLineSeries>
          </c:ext>
        </c:extLst>
      </c:lineChart>
      <c:catAx>
        <c:axId val="3903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16424"/>
        <c:crosses val="autoZero"/>
        <c:auto val="1"/>
        <c:lblAlgn val="ctr"/>
        <c:lblOffset val="100"/>
        <c:noMultiLvlLbl val="0"/>
      </c:catAx>
      <c:valAx>
        <c:axId val="39031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388620</xdr:colOff>
      <xdr:row>8</xdr:row>
      <xdr:rowOff>156210</xdr:rowOff>
    </xdr:from>
    <xdr:to>
      <xdr:col>13</xdr:col>
      <xdr:colOff>83820</xdr:colOff>
      <xdr:row>23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2DE374-1858-7B1A-821B-EF96034B8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350520</xdr:colOff>
      <xdr:row>8</xdr:row>
      <xdr:rowOff>163830</xdr:rowOff>
    </xdr:from>
    <xdr:to>
      <xdr:col>28</xdr:col>
      <xdr:colOff>45720</xdr:colOff>
      <xdr:row>23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021CC2-ADF4-0B51-56C3-ABA541391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426720</xdr:colOff>
      <xdr:row>11</xdr:row>
      <xdr:rowOff>49530</xdr:rowOff>
    </xdr:from>
    <xdr:to>
      <xdr:col>42</xdr:col>
      <xdr:colOff>121920</xdr:colOff>
      <xdr:row>26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24AD92-0BC0-3E79-DE5F-8BBC86B77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2488-695A-EF43-9B9B-F6F26327649F}">
  <dimension ref="A1:P405"/>
  <sheetViews>
    <sheetView zoomScaleNormal="100" zoomScaleSheetLayoutView="100" workbookViewId="0">
      <selection activeCell="B10" sqref="B10"/>
    </sheetView>
  </sheetViews>
  <sheetFormatPr defaultRowHeight="14.4" x14ac:dyDescent="0.3"/>
  <cols>
    <col min="1" max="1" width="10.109375" customWidth="1"/>
    <col min="2" max="2" width="8.88671875" bestFit="1" customWidth="1"/>
    <col min="3" max="3" width="24.21875" customWidth="1"/>
    <col min="4" max="4" width="26.109375" customWidth="1"/>
    <col min="6" max="6" width="11" customWidth="1"/>
    <col min="7" max="8" width="13.88671875" customWidth="1"/>
    <col min="9" max="9" width="19" bestFit="1" customWidth="1"/>
    <col min="10" max="10" width="24.21875" bestFit="1" customWidth="1"/>
    <col min="11" max="11" width="17.6640625" bestFit="1" customWidth="1"/>
    <col min="12" max="12" width="10.21875" bestFit="1" customWidth="1"/>
    <col min="13" max="13" width="12.21875" bestFit="1" customWidth="1"/>
    <col min="14" max="14" width="16.77734375" bestFit="1" customWidth="1"/>
    <col min="15" max="15" width="15.109375" bestFit="1" customWidth="1"/>
  </cols>
  <sheetData>
    <row r="1" spans="1:16" s="4" customFormat="1" ht="22.8" customHeight="1" x14ac:dyDescent="0.3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8" customHeight="1" x14ac:dyDescent="0.3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1" t="s">
        <v>5</v>
      </c>
      <c r="G2" s="12" t="s">
        <v>6</v>
      </c>
      <c r="H2" s="7" t="s">
        <v>7</v>
      </c>
      <c r="I2" s="13" t="s">
        <v>9</v>
      </c>
      <c r="J2" s="14" t="s">
        <v>10</v>
      </c>
      <c r="K2" s="8" t="s">
        <v>11</v>
      </c>
      <c r="L2" s="15" t="s">
        <v>12</v>
      </c>
      <c r="M2" s="16" t="s">
        <v>15</v>
      </c>
      <c r="N2" s="17" t="s">
        <v>16</v>
      </c>
      <c r="O2" s="18" t="s">
        <v>13</v>
      </c>
    </row>
    <row r="3" spans="1:16" x14ac:dyDescent="0.3">
      <c r="A3" s="19">
        <v>44531</v>
      </c>
      <c r="B3" s="20">
        <v>0.27083333333333331</v>
      </c>
      <c r="C3" s="21">
        <v>41.7</v>
      </c>
      <c r="D3" s="22">
        <v>34.299999999999997</v>
      </c>
      <c r="E3" s="7">
        <v>26</v>
      </c>
      <c r="F3" s="11">
        <f>C3-D3</f>
        <v>7.4000000000000057</v>
      </c>
      <c r="G3" s="23">
        <f>D3-E3</f>
        <v>8.2999999999999972</v>
      </c>
      <c r="H3" s="24">
        <f t="shared" ref="H3:H14" si="0">(F3/(F3+G3))*100</f>
        <v>47.133757961783466</v>
      </c>
      <c r="I3" s="25">
        <v>3103</v>
      </c>
      <c r="J3" s="26">
        <f>C3-D3</f>
        <v>7.4000000000000057</v>
      </c>
      <c r="K3" s="21">
        <f>0.00085*1.8*I3*J3</f>
        <v>35.132166000000026</v>
      </c>
      <c r="L3" s="27">
        <v>1.75</v>
      </c>
      <c r="M3" s="28">
        <v>5</v>
      </c>
      <c r="N3" s="29">
        <f>K3/M3-1</f>
        <v>6.0264332000000049</v>
      </c>
      <c r="O3" s="30">
        <f>K3+L3+N3</f>
        <v>42.908599200000033</v>
      </c>
    </row>
    <row r="4" spans="1:16" x14ac:dyDescent="0.3">
      <c r="A4" s="31"/>
      <c r="B4" s="20">
        <v>0.35416666666666669</v>
      </c>
      <c r="C4" s="21">
        <v>41.4</v>
      </c>
      <c r="D4" s="22">
        <v>34.299999999999997</v>
      </c>
      <c r="E4" s="7">
        <v>26</v>
      </c>
      <c r="F4" s="11">
        <f t="shared" ref="F4:F14" si="1">C4-D4</f>
        <v>7.1000000000000014</v>
      </c>
      <c r="G4" s="23">
        <f t="shared" ref="G4:G14" si="2">D4-E4</f>
        <v>8.2999999999999972</v>
      </c>
      <c r="H4" s="24">
        <f t="shared" si="0"/>
        <v>46.103896103896119</v>
      </c>
      <c r="I4" s="25">
        <v>3167</v>
      </c>
      <c r="J4" s="26">
        <f>C4-D4</f>
        <v>7.1000000000000014</v>
      </c>
      <c r="K4" s="21">
        <f t="shared" ref="K4:K14" si="3">0.00085*1.8*I4*J4</f>
        <v>34.403121000000006</v>
      </c>
      <c r="L4" s="27">
        <v>1.75</v>
      </c>
      <c r="M4" s="28">
        <v>5</v>
      </c>
      <c r="N4" s="29">
        <f t="shared" ref="N4:N66" si="4">K4/M4-1</f>
        <v>5.8806242000000015</v>
      </c>
      <c r="O4" s="30">
        <f t="shared" ref="O4:O66" si="5">K4+L4+N4</f>
        <v>42.033745200000006</v>
      </c>
    </row>
    <row r="5" spans="1:16" x14ac:dyDescent="0.3">
      <c r="A5" s="31"/>
      <c r="B5" s="20">
        <v>0.4375</v>
      </c>
      <c r="C5" s="21">
        <v>41.3</v>
      </c>
      <c r="D5" s="22">
        <v>34.299999999999997</v>
      </c>
      <c r="E5" s="7">
        <v>26</v>
      </c>
      <c r="F5" s="11">
        <f t="shared" si="1"/>
        <v>7</v>
      </c>
      <c r="G5" s="23">
        <f t="shared" si="2"/>
        <v>8.2999999999999972</v>
      </c>
      <c r="H5" s="24">
        <f t="shared" si="0"/>
        <v>45.751633986928113</v>
      </c>
      <c r="I5" s="25">
        <v>3113</v>
      </c>
      <c r="J5" s="26">
        <f t="shared" ref="J5:J66" si="6">C5-D5</f>
        <v>7</v>
      </c>
      <c r="K5" s="21">
        <f t="shared" si="3"/>
        <v>33.340229999999998</v>
      </c>
      <c r="L5" s="27">
        <v>1.75</v>
      </c>
      <c r="M5" s="28">
        <v>5</v>
      </c>
      <c r="N5" s="29">
        <f t="shared" si="4"/>
        <v>5.6680459999999995</v>
      </c>
      <c r="O5" s="30">
        <f t="shared" si="5"/>
        <v>40.758275999999995</v>
      </c>
    </row>
    <row r="6" spans="1:16" x14ac:dyDescent="0.3">
      <c r="A6" s="31"/>
      <c r="B6" s="20">
        <v>0.52083333333333337</v>
      </c>
      <c r="C6" s="21">
        <v>40.6</v>
      </c>
      <c r="D6" s="22">
        <v>33.4</v>
      </c>
      <c r="E6" s="7">
        <v>26</v>
      </c>
      <c r="F6" s="11">
        <f t="shared" si="1"/>
        <v>7.2000000000000028</v>
      </c>
      <c r="G6" s="23">
        <f t="shared" si="2"/>
        <v>7.3999999999999986</v>
      </c>
      <c r="H6" s="24">
        <f t="shared" si="0"/>
        <v>49.315068493150697</v>
      </c>
      <c r="I6" s="25">
        <v>3026</v>
      </c>
      <c r="J6" s="26">
        <f t="shared" si="6"/>
        <v>7.2000000000000028</v>
      </c>
      <c r="K6" s="21">
        <f t="shared" si="3"/>
        <v>33.334416000000012</v>
      </c>
      <c r="L6" s="27">
        <v>1.75</v>
      </c>
      <c r="M6" s="28">
        <v>5</v>
      </c>
      <c r="N6" s="29">
        <f t="shared" si="4"/>
        <v>5.6668832000000027</v>
      </c>
      <c r="O6" s="30">
        <f t="shared" si="5"/>
        <v>40.751299200000012</v>
      </c>
    </row>
    <row r="7" spans="1:16" x14ac:dyDescent="0.3">
      <c r="A7" s="31"/>
      <c r="B7" s="20">
        <v>0.60416666666666663</v>
      </c>
      <c r="C7" s="21">
        <v>41</v>
      </c>
      <c r="D7" s="22">
        <v>33.700000000000003</v>
      </c>
      <c r="E7" s="7">
        <v>26</v>
      </c>
      <c r="F7" s="11">
        <f t="shared" si="1"/>
        <v>7.2999999999999972</v>
      </c>
      <c r="G7" s="23">
        <f t="shared" si="2"/>
        <v>7.7000000000000028</v>
      </c>
      <c r="H7" s="24">
        <f t="shared" si="0"/>
        <v>48.66666666666665</v>
      </c>
      <c r="I7" s="25">
        <v>3055</v>
      </c>
      <c r="J7" s="26">
        <f t="shared" si="6"/>
        <v>7.2999999999999972</v>
      </c>
      <c r="K7" s="21">
        <f t="shared" si="3"/>
        <v>34.121294999999989</v>
      </c>
      <c r="L7" s="27">
        <v>1.75</v>
      </c>
      <c r="M7" s="28">
        <v>5</v>
      </c>
      <c r="N7" s="29">
        <f t="shared" si="4"/>
        <v>5.8242589999999979</v>
      </c>
      <c r="O7" s="30">
        <f t="shared" si="5"/>
        <v>41.695553999999987</v>
      </c>
    </row>
    <row r="8" spans="1:16" x14ac:dyDescent="0.3">
      <c r="A8" s="31"/>
      <c r="B8" s="20">
        <v>0.6875</v>
      </c>
      <c r="C8" s="21">
        <v>40.799999999999997</v>
      </c>
      <c r="D8" s="22">
        <v>33.700000000000003</v>
      </c>
      <c r="E8" s="7">
        <v>26</v>
      </c>
      <c r="F8" s="11">
        <f t="shared" si="1"/>
        <v>7.0999999999999943</v>
      </c>
      <c r="G8" s="23">
        <f t="shared" si="2"/>
        <v>7.7000000000000028</v>
      </c>
      <c r="H8" s="24">
        <f t="shared" si="0"/>
        <v>47.972972972972947</v>
      </c>
      <c r="I8" s="25">
        <v>3180</v>
      </c>
      <c r="J8" s="26">
        <f t="shared" si="6"/>
        <v>7.0999999999999943</v>
      </c>
      <c r="K8" s="21">
        <f t="shared" si="3"/>
        <v>34.54433999999997</v>
      </c>
      <c r="L8" s="27">
        <v>1.75</v>
      </c>
      <c r="M8" s="28">
        <v>5</v>
      </c>
      <c r="N8" s="29">
        <f t="shared" si="4"/>
        <v>5.9088679999999938</v>
      </c>
      <c r="O8" s="30">
        <f t="shared" si="5"/>
        <v>42.203207999999961</v>
      </c>
    </row>
    <row r="9" spans="1:16" x14ac:dyDescent="0.3">
      <c r="A9" s="31"/>
      <c r="B9" s="20">
        <v>0.77083333333333337</v>
      </c>
      <c r="C9" s="21">
        <v>41.1</v>
      </c>
      <c r="D9" s="22">
        <v>33.9</v>
      </c>
      <c r="E9" s="7">
        <v>26</v>
      </c>
      <c r="F9" s="11">
        <f t="shared" si="1"/>
        <v>7.2000000000000028</v>
      </c>
      <c r="G9" s="23">
        <f t="shared" si="2"/>
        <v>7.8999999999999986</v>
      </c>
      <c r="H9" s="24">
        <f t="shared" si="0"/>
        <v>47.682119205298029</v>
      </c>
      <c r="I9" s="25">
        <v>3078</v>
      </c>
      <c r="J9" s="26">
        <f t="shared" si="6"/>
        <v>7.2000000000000028</v>
      </c>
      <c r="K9" s="21">
        <f t="shared" si="3"/>
        <v>33.907248000000017</v>
      </c>
      <c r="L9" s="27">
        <v>1.75</v>
      </c>
      <c r="M9" s="28">
        <v>5</v>
      </c>
      <c r="N9" s="29">
        <f t="shared" si="4"/>
        <v>5.7814496000000037</v>
      </c>
      <c r="O9" s="30">
        <f t="shared" si="5"/>
        <v>41.438697600000019</v>
      </c>
    </row>
    <row r="10" spans="1:16" x14ac:dyDescent="0.3">
      <c r="A10" s="31"/>
      <c r="B10" s="20">
        <v>0.85416666666666663</v>
      </c>
      <c r="C10" s="32"/>
      <c r="D10" s="22"/>
      <c r="E10" s="7">
        <v>26</v>
      </c>
      <c r="F10" s="11"/>
      <c r="G10" s="23"/>
      <c r="H10" s="24"/>
      <c r="I10" s="25"/>
      <c r="J10" s="26"/>
      <c r="K10" s="21"/>
      <c r="L10" s="27"/>
      <c r="M10" s="28"/>
      <c r="N10" s="29"/>
      <c r="O10" s="30"/>
    </row>
    <row r="11" spans="1:16" x14ac:dyDescent="0.3">
      <c r="A11" s="31"/>
      <c r="B11" s="20">
        <v>0.9375</v>
      </c>
      <c r="C11" s="21">
        <v>39.1</v>
      </c>
      <c r="D11" s="22">
        <v>33</v>
      </c>
      <c r="E11" s="7">
        <v>26</v>
      </c>
      <c r="F11" s="11">
        <f t="shared" si="1"/>
        <v>6.1000000000000014</v>
      </c>
      <c r="G11" s="23">
        <f t="shared" si="2"/>
        <v>7</v>
      </c>
      <c r="H11" s="24">
        <f t="shared" si="0"/>
        <v>46.564885496183209</v>
      </c>
      <c r="I11" s="25">
        <v>3301</v>
      </c>
      <c r="J11" s="26">
        <f t="shared" si="6"/>
        <v>6.1000000000000014</v>
      </c>
      <c r="K11" s="21">
        <f t="shared" si="3"/>
        <v>30.808233000000001</v>
      </c>
      <c r="L11" s="27">
        <v>1.75</v>
      </c>
      <c r="M11" s="28">
        <v>5</v>
      </c>
      <c r="N11" s="29">
        <f t="shared" si="4"/>
        <v>5.1616466000000001</v>
      </c>
      <c r="O11" s="30">
        <f t="shared" si="5"/>
        <v>37.719879599999999</v>
      </c>
    </row>
    <row r="12" spans="1:16" x14ac:dyDescent="0.3">
      <c r="A12" s="31"/>
      <c r="B12" s="20">
        <v>2.0833333333333332E-2</v>
      </c>
      <c r="C12" s="21">
        <v>39.1</v>
      </c>
      <c r="D12" s="22">
        <v>33</v>
      </c>
      <c r="E12" s="7">
        <v>26</v>
      </c>
      <c r="F12" s="11">
        <f t="shared" si="1"/>
        <v>6.1000000000000014</v>
      </c>
      <c r="G12" s="23">
        <f t="shared" si="2"/>
        <v>7</v>
      </c>
      <c r="H12" s="24">
        <f t="shared" si="0"/>
        <v>46.564885496183209</v>
      </c>
      <c r="I12" s="25">
        <v>3241</v>
      </c>
      <c r="J12" s="26">
        <f t="shared" si="6"/>
        <v>6.1000000000000014</v>
      </c>
      <c r="K12" s="21">
        <f t="shared" si="3"/>
        <v>30.248253000000009</v>
      </c>
      <c r="L12" s="27">
        <v>1.75</v>
      </c>
      <c r="M12" s="28">
        <v>5</v>
      </c>
      <c r="N12" s="29">
        <f t="shared" si="4"/>
        <v>5.0496506000000014</v>
      </c>
      <c r="O12" s="30">
        <f t="shared" si="5"/>
        <v>37.047903600000012</v>
      </c>
    </row>
    <row r="13" spans="1:16" x14ac:dyDescent="0.3">
      <c r="A13" s="31"/>
      <c r="B13" s="20">
        <v>0.10416666666666667</v>
      </c>
      <c r="C13" s="21">
        <v>39</v>
      </c>
      <c r="D13" s="22">
        <v>32</v>
      </c>
      <c r="E13" s="7">
        <v>26</v>
      </c>
      <c r="F13" s="11">
        <f t="shared" si="1"/>
        <v>7</v>
      </c>
      <c r="G13" s="23">
        <f t="shared" si="2"/>
        <v>6</v>
      </c>
      <c r="H13" s="24">
        <f t="shared" si="0"/>
        <v>53.846153846153847</v>
      </c>
      <c r="I13" s="25">
        <v>3316</v>
      </c>
      <c r="J13" s="26">
        <f t="shared" si="6"/>
        <v>7</v>
      </c>
      <c r="K13" s="21">
        <f t="shared" si="3"/>
        <v>35.514359999999996</v>
      </c>
      <c r="L13" s="27">
        <v>1.75</v>
      </c>
      <c r="M13" s="28">
        <v>5</v>
      </c>
      <c r="N13" s="29">
        <f t="shared" si="4"/>
        <v>6.1028719999999996</v>
      </c>
      <c r="O13" s="30">
        <f t="shared" si="5"/>
        <v>43.367231999999994</v>
      </c>
    </row>
    <row r="14" spans="1:16" x14ac:dyDescent="0.3">
      <c r="A14" s="31"/>
      <c r="B14" s="20">
        <v>0.1875</v>
      </c>
      <c r="C14" s="21">
        <v>39.9</v>
      </c>
      <c r="D14" s="33">
        <v>33.1</v>
      </c>
      <c r="E14" s="7">
        <v>26</v>
      </c>
      <c r="F14" s="11">
        <f t="shared" si="1"/>
        <v>6.7999999999999972</v>
      </c>
      <c r="G14" s="23">
        <f t="shared" si="2"/>
        <v>7.1000000000000014</v>
      </c>
      <c r="H14" s="24">
        <f t="shared" si="0"/>
        <v>48.920863309352505</v>
      </c>
      <c r="I14" s="25">
        <v>3347</v>
      </c>
      <c r="J14" s="26">
        <f t="shared" si="6"/>
        <v>6.7999999999999972</v>
      </c>
      <c r="K14" s="21">
        <f t="shared" si="3"/>
        <v>34.822187999999983</v>
      </c>
      <c r="L14" s="27">
        <v>1.75</v>
      </c>
      <c r="M14" s="28">
        <v>5</v>
      </c>
      <c r="N14" s="29">
        <f t="shared" si="4"/>
        <v>5.9644375999999966</v>
      </c>
      <c r="O14" s="30">
        <f t="shared" si="5"/>
        <v>42.536625599999979</v>
      </c>
    </row>
    <row r="15" spans="1:16" s="3" customFormat="1" x14ac:dyDescent="0.3">
      <c r="A15" s="34"/>
      <c r="B15" s="34"/>
      <c r="C15" s="34"/>
      <c r="D15" s="34"/>
      <c r="E15" s="7">
        <v>26</v>
      </c>
      <c r="F15" s="34"/>
      <c r="G15" s="34" t="s">
        <v>8</v>
      </c>
      <c r="H15" s="34">
        <f>AVERAGE(H3:H14)</f>
        <v>48.047536685324438</v>
      </c>
      <c r="I15" s="34"/>
      <c r="J15" s="34"/>
      <c r="K15" s="34">
        <v>33.652299999999997</v>
      </c>
      <c r="L15" s="34"/>
      <c r="M15" s="34"/>
      <c r="N15" s="34">
        <f>SUM(N3:N14)</f>
        <v>63.035169999999994</v>
      </c>
      <c r="O15" s="34">
        <f>SUM(O3:O14)</f>
        <v>452.46102000000002</v>
      </c>
    </row>
    <row r="16" spans="1:16" x14ac:dyDescent="0.3">
      <c r="A16" s="19">
        <v>44532</v>
      </c>
      <c r="B16" s="20">
        <v>0.27083333333333331</v>
      </c>
      <c r="C16" s="21">
        <v>40.1</v>
      </c>
      <c r="D16" s="22">
        <v>33.200000000000003</v>
      </c>
      <c r="E16" s="7">
        <v>26</v>
      </c>
      <c r="F16" s="11">
        <f>C16-D16</f>
        <v>6.8999999999999986</v>
      </c>
      <c r="G16" s="23">
        <f>D16-E16</f>
        <v>7.2000000000000028</v>
      </c>
      <c r="H16" s="24">
        <f>(F16/(F16+G16))*100</f>
        <v>48.936170212765944</v>
      </c>
      <c r="I16" s="25">
        <v>3261</v>
      </c>
      <c r="J16" s="26">
        <f t="shared" si="6"/>
        <v>6.8999999999999986</v>
      </c>
      <c r="K16" s="21">
        <f t="shared" ref="K16:K66" si="7">0.00085*1.8*I16*J16</f>
        <v>34.426376999999995</v>
      </c>
      <c r="L16" s="27">
        <v>1.75</v>
      </c>
      <c r="M16" s="28">
        <v>5</v>
      </c>
      <c r="N16" s="29">
        <f t="shared" si="4"/>
        <v>5.8852753999999994</v>
      </c>
      <c r="O16" s="30">
        <f t="shared" si="5"/>
        <v>42.061652399999993</v>
      </c>
    </row>
    <row r="17" spans="1:15" x14ac:dyDescent="0.3">
      <c r="A17" s="31"/>
      <c r="B17" s="20">
        <v>0.35416666666666669</v>
      </c>
      <c r="C17" s="21">
        <v>40.4</v>
      </c>
      <c r="D17" s="22">
        <v>33.5</v>
      </c>
      <c r="E17" s="7">
        <v>26</v>
      </c>
      <c r="F17" s="11">
        <f t="shared" ref="F17:F27" si="8">C17-D17</f>
        <v>6.8999999999999986</v>
      </c>
      <c r="G17" s="23">
        <f t="shared" ref="G17:G27" si="9">D17-E17</f>
        <v>7.5</v>
      </c>
      <c r="H17" s="24">
        <f t="shared" ref="H17:H27" si="10">(F17/(F17+G17))*100</f>
        <v>47.916666666666664</v>
      </c>
      <c r="I17" s="25">
        <v>3201</v>
      </c>
      <c r="J17" s="26">
        <f t="shared" si="6"/>
        <v>6.8999999999999986</v>
      </c>
      <c r="K17" s="21">
        <f t="shared" si="7"/>
        <v>33.792956999999994</v>
      </c>
      <c r="L17" s="27">
        <v>1.75</v>
      </c>
      <c r="M17" s="28">
        <v>5</v>
      </c>
      <c r="N17" s="29">
        <f t="shared" si="4"/>
        <v>5.7585913999999985</v>
      </c>
      <c r="O17" s="30">
        <f t="shared" si="5"/>
        <v>41.301548399999994</v>
      </c>
    </row>
    <row r="18" spans="1:15" x14ac:dyDescent="0.3">
      <c r="A18" s="31"/>
      <c r="B18" s="20">
        <v>0.4375</v>
      </c>
      <c r="C18" s="21">
        <v>40.5</v>
      </c>
      <c r="D18" s="22">
        <v>33.6</v>
      </c>
      <c r="E18" s="7">
        <v>26</v>
      </c>
      <c r="F18" s="11">
        <f t="shared" si="8"/>
        <v>6.8999999999999986</v>
      </c>
      <c r="G18" s="23">
        <f t="shared" si="9"/>
        <v>7.6000000000000014</v>
      </c>
      <c r="H18" s="24">
        <f t="shared" si="10"/>
        <v>47.586206896551715</v>
      </c>
      <c r="I18" s="25">
        <v>3283</v>
      </c>
      <c r="J18" s="26">
        <f t="shared" si="6"/>
        <v>6.8999999999999986</v>
      </c>
      <c r="K18" s="21">
        <f t="shared" si="7"/>
        <v>34.658630999999993</v>
      </c>
      <c r="L18" s="27">
        <v>1.75</v>
      </c>
      <c r="M18" s="28">
        <v>5</v>
      </c>
      <c r="N18" s="29">
        <f t="shared" si="4"/>
        <v>5.9317261999999982</v>
      </c>
      <c r="O18" s="30">
        <f t="shared" si="5"/>
        <v>42.340357199999993</v>
      </c>
    </row>
    <row r="19" spans="1:15" x14ac:dyDescent="0.3">
      <c r="A19" s="31"/>
      <c r="B19" s="20">
        <v>0.52083333333333337</v>
      </c>
      <c r="C19" s="21">
        <v>40.5</v>
      </c>
      <c r="D19" s="22">
        <v>33.5</v>
      </c>
      <c r="E19" s="7">
        <v>26</v>
      </c>
      <c r="F19" s="11">
        <f t="shared" si="8"/>
        <v>7</v>
      </c>
      <c r="G19" s="23">
        <f t="shared" si="9"/>
        <v>7.5</v>
      </c>
      <c r="H19" s="24">
        <f t="shared" si="10"/>
        <v>48.275862068965516</v>
      </c>
      <c r="I19" s="25">
        <v>3264</v>
      </c>
      <c r="J19" s="26">
        <f t="shared" si="6"/>
        <v>7</v>
      </c>
      <c r="K19" s="21">
        <f t="shared" si="7"/>
        <v>34.957439999999991</v>
      </c>
      <c r="L19" s="27">
        <v>1.75</v>
      </c>
      <c r="M19" s="28">
        <v>5</v>
      </c>
      <c r="N19" s="29">
        <f t="shared" si="4"/>
        <v>5.9914879999999986</v>
      </c>
      <c r="O19" s="30">
        <f t="shared" si="5"/>
        <v>42.698927999999988</v>
      </c>
    </row>
    <row r="20" spans="1:15" x14ac:dyDescent="0.3">
      <c r="A20" s="31"/>
      <c r="B20" s="20">
        <v>0.60416666666666663</v>
      </c>
      <c r="C20" s="21">
        <v>40.6</v>
      </c>
      <c r="D20" s="22">
        <v>33.6</v>
      </c>
      <c r="E20" s="7">
        <v>26</v>
      </c>
      <c r="F20" s="11">
        <f t="shared" si="8"/>
        <v>7</v>
      </c>
      <c r="G20" s="23">
        <f t="shared" si="9"/>
        <v>7.6000000000000014</v>
      </c>
      <c r="H20" s="24">
        <f t="shared" si="10"/>
        <v>47.945205479452049</v>
      </c>
      <c r="I20" s="25">
        <v>3283</v>
      </c>
      <c r="J20" s="26">
        <f t="shared" si="6"/>
        <v>7</v>
      </c>
      <c r="K20" s="21">
        <f t="shared" si="7"/>
        <v>35.16093</v>
      </c>
      <c r="L20" s="27">
        <v>1.75</v>
      </c>
      <c r="M20" s="28">
        <v>5</v>
      </c>
      <c r="N20" s="29">
        <f t="shared" si="4"/>
        <v>6.0321860000000003</v>
      </c>
      <c r="O20" s="30">
        <f t="shared" si="5"/>
        <v>42.943116000000003</v>
      </c>
    </row>
    <row r="21" spans="1:15" x14ac:dyDescent="0.3">
      <c r="A21" s="31"/>
      <c r="B21" s="20">
        <v>0.6875</v>
      </c>
      <c r="C21" s="21">
        <v>39.5</v>
      </c>
      <c r="D21" s="22">
        <v>33.1</v>
      </c>
      <c r="E21" s="7">
        <v>26</v>
      </c>
      <c r="F21" s="11">
        <f t="shared" si="8"/>
        <v>6.3999999999999986</v>
      </c>
      <c r="G21" s="23">
        <f t="shared" si="9"/>
        <v>7.1000000000000014</v>
      </c>
      <c r="H21" s="24">
        <f t="shared" si="10"/>
        <v>47.407407407407398</v>
      </c>
      <c r="I21" s="25">
        <v>3249</v>
      </c>
      <c r="J21" s="26">
        <f t="shared" si="6"/>
        <v>6.3999999999999986</v>
      </c>
      <c r="K21" s="21">
        <f t="shared" si="7"/>
        <v>31.81420799999999</v>
      </c>
      <c r="L21" s="27">
        <v>1.75</v>
      </c>
      <c r="M21" s="28">
        <v>5</v>
      </c>
      <c r="N21" s="29">
        <f t="shared" si="4"/>
        <v>5.3628415999999977</v>
      </c>
      <c r="O21" s="30">
        <f t="shared" si="5"/>
        <v>38.927049599999989</v>
      </c>
    </row>
    <row r="22" spans="1:15" x14ac:dyDescent="0.3">
      <c r="A22" s="31"/>
      <c r="B22" s="20">
        <v>0.77083333333333337</v>
      </c>
      <c r="C22" s="21">
        <v>39.200000000000003</v>
      </c>
      <c r="D22" s="22">
        <v>32.700000000000003</v>
      </c>
      <c r="E22" s="7">
        <v>26</v>
      </c>
      <c r="F22" s="11">
        <f t="shared" si="8"/>
        <v>6.5</v>
      </c>
      <c r="G22" s="23">
        <f t="shared" si="9"/>
        <v>6.7000000000000028</v>
      </c>
      <c r="H22" s="24">
        <f t="shared" si="10"/>
        <v>49.242424242424235</v>
      </c>
      <c r="I22" s="25">
        <v>3265</v>
      </c>
      <c r="J22" s="26">
        <f t="shared" si="6"/>
        <v>6.5</v>
      </c>
      <c r="K22" s="21">
        <f t="shared" si="7"/>
        <v>32.470424999999999</v>
      </c>
      <c r="L22" s="27">
        <v>1.75</v>
      </c>
      <c r="M22" s="28">
        <v>5</v>
      </c>
      <c r="N22" s="29">
        <f t="shared" si="4"/>
        <v>5.4940850000000001</v>
      </c>
      <c r="O22" s="30">
        <f t="shared" si="5"/>
        <v>39.714509999999997</v>
      </c>
    </row>
    <row r="23" spans="1:15" x14ac:dyDescent="0.3">
      <c r="A23" s="31"/>
      <c r="B23" s="20">
        <v>0.85416666666666663</v>
      </c>
      <c r="C23" s="32">
        <v>40.1</v>
      </c>
      <c r="D23" s="22">
        <v>33.299999999999997</v>
      </c>
      <c r="E23" s="7">
        <v>26</v>
      </c>
      <c r="F23" s="11">
        <f t="shared" si="8"/>
        <v>6.8000000000000043</v>
      </c>
      <c r="G23" s="23">
        <f t="shared" si="9"/>
        <v>7.2999999999999972</v>
      </c>
      <c r="H23" s="24">
        <f t="shared" si="10"/>
        <v>48.226950354609954</v>
      </c>
      <c r="I23" s="25">
        <v>3345</v>
      </c>
      <c r="J23" s="26">
        <f t="shared" si="6"/>
        <v>6.8000000000000043</v>
      </c>
      <c r="K23" s="21">
        <f t="shared" si="7"/>
        <v>34.801380000000023</v>
      </c>
      <c r="L23" s="27">
        <v>1.75</v>
      </c>
      <c r="M23" s="28">
        <v>5</v>
      </c>
      <c r="N23" s="29">
        <f t="shared" si="4"/>
        <v>5.9602760000000048</v>
      </c>
      <c r="O23" s="30">
        <f t="shared" si="5"/>
        <v>42.511656000000031</v>
      </c>
    </row>
    <row r="24" spans="1:15" x14ac:dyDescent="0.3">
      <c r="A24" s="31"/>
      <c r="B24" s="20">
        <v>0.9375</v>
      </c>
      <c r="C24" s="21">
        <v>39.200000000000003</v>
      </c>
      <c r="D24" s="22">
        <v>32.799999999999997</v>
      </c>
      <c r="E24" s="7">
        <v>26</v>
      </c>
      <c r="F24" s="11">
        <f t="shared" si="8"/>
        <v>6.4000000000000057</v>
      </c>
      <c r="G24" s="23">
        <f t="shared" si="9"/>
        <v>6.7999999999999972</v>
      </c>
      <c r="H24" s="24">
        <f t="shared" si="10"/>
        <v>48.48484848484852</v>
      </c>
      <c r="I24" s="25">
        <v>3254</v>
      </c>
      <c r="J24" s="26">
        <f t="shared" si="6"/>
        <v>6.4000000000000057</v>
      </c>
      <c r="K24" s="21">
        <f t="shared" si="7"/>
        <v>31.863168000000023</v>
      </c>
      <c r="L24" s="27">
        <v>1.75</v>
      </c>
      <c r="M24" s="28">
        <v>5</v>
      </c>
      <c r="N24" s="29">
        <f t="shared" si="4"/>
        <v>5.3726336000000048</v>
      </c>
      <c r="O24" s="30">
        <f t="shared" si="5"/>
        <v>38.98580160000003</v>
      </c>
    </row>
    <row r="25" spans="1:15" x14ac:dyDescent="0.3">
      <c r="A25" s="31"/>
      <c r="B25" s="20">
        <v>2.0833333333333332E-2</v>
      </c>
      <c r="C25" s="21">
        <v>39.1</v>
      </c>
      <c r="D25" s="22">
        <v>32.5</v>
      </c>
      <c r="E25" s="7">
        <v>26</v>
      </c>
      <c r="F25" s="11">
        <f t="shared" si="8"/>
        <v>6.6000000000000014</v>
      </c>
      <c r="G25" s="23">
        <f t="shared" si="9"/>
        <v>6.5</v>
      </c>
      <c r="H25" s="24">
        <f t="shared" si="10"/>
        <v>50.381679389312986</v>
      </c>
      <c r="I25" s="25">
        <v>3251</v>
      </c>
      <c r="J25" s="26">
        <f t="shared" si="6"/>
        <v>6.6000000000000014</v>
      </c>
      <c r="K25" s="21">
        <f t="shared" si="7"/>
        <v>32.828598000000007</v>
      </c>
      <c r="L25" s="27">
        <v>1.75</v>
      </c>
      <c r="M25" s="28">
        <v>5</v>
      </c>
      <c r="N25" s="29">
        <f t="shared" si="4"/>
        <v>5.5657196000000013</v>
      </c>
      <c r="O25" s="30">
        <f t="shared" si="5"/>
        <v>40.144317600000008</v>
      </c>
    </row>
    <row r="26" spans="1:15" x14ac:dyDescent="0.3">
      <c r="A26" s="31"/>
      <c r="B26" s="20">
        <v>0.10416666666666667</v>
      </c>
      <c r="C26" s="21">
        <v>39.5</v>
      </c>
      <c r="D26" s="22">
        <v>32.9</v>
      </c>
      <c r="E26" s="7">
        <v>26</v>
      </c>
      <c r="F26" s="11">
        <f t="shared" si="8"/>
        <v>6.6000000000000014</v>
      </c>
      <c r="G26" s="23">
        <f t="shared" si="9"/>
        <v>6.8999999999999986</v>
      </c>
      <c r="H26" s="24">
        <f t="shared" si="10"/>
        <v>48.8888888888889</v>
      </c>
      <c r="I26" s="25">
        <v>3255</v>
      </c>
      <c r="J26" s="26">
        <f t="shared" si="6"/>
        <v>6.6000000000000014</v>
      </c>
      <c r="K26" s="21">
        <f t="shared" si="7"/>
        <v>32.868990000000011</v>
      </c>
      <c r="L26" s="27">
        <v>1.75</v>
      </c>
      <c r="M26" s="28">
        <v>5</v>
      </c>
      <c r="N26" s="29">
        <f t="shared" si="4"/>
        <v>5.5737980000000018</v>
      </c>
      <c r="O26" s="30">
        <f t="shared" si="5"/>
        <v>40.192788000000014</v>
      </c>
    </row>
    <row r="27" spans="1:15" x14ac:dyDescent="0.3">
      <c r="A27" s="31"/>
      <c r="B27" s="20">
        <v>0.1875</v>
      </c>
      <c r="C27" s="21">
        <v>38.700000000000003</v>
      </c>
      <c r="D27" s="33">
        <v>32.1</v>
      </c>
      <c r="E27" s="7">
        <v>26</v>
      </c>
      <c r="F27" s="11">
        <f t="shared" si="8"/>
        <v>6.6000000000000014</v>
      </c>
      <c r="G27" s="23">
        <f t="shared" si="9"/>
        <v>6.1000000000000014</v>
      </c>
      <c r="H27" s="24">
        <f t="shared" si="10"/>
        <v>51.968503937007867</v>
      </c>
      <c r="I27" s="25">
        <v>3271</v>
      </c>
      <c r="J27" s="26">
        <f t="shared" si="6"/>
        <v>6.6000000000000014</v>
      </c>
      <c r="K27" s="21">
        <f t="shared" si="7"/>
        <v>33.030558000000006</v>
      </c>
      <c r="L27" s="27">
        <v>1.75</v>
      </c>
      <c r="M27" s="28">
        <v>5</v>
      </c>
      <c r="N27" s="29">
        <f t="shared" si="4"/>
        <v>5.6061116000000011</v>
      </c>
      <c r="O27" s="30">
        <f t="shared" si="5"/>
        <v>40.386669600000005</v>
      </c>
    </row>
    <row r="28" spans="1:15" s="3" customFormat="1" x14ac:dyDescent="0.3">
      <c r="A28" s="34"/>
      <c r="B28" s="34"/>
      <c r="C28" s="34"/>
      <c r="D28" s="34"/>
      <c r="E28" s="34"/>
      <c r="F28" s="34"/>
      <c r="G28" s="34" t="s">
        <v>8</v>
      </c>
      <c r="H28" s="34">
        <f>AVERAGE(H16:H27)</f>
        <v>48.771734502408471</v>
      </c>
      <c r="I28" s="34"/>
      <c r="J28" s="34"/>
      <c r="K28" s="34">
        <f>AVERAGE(K16:K27)</f>
        <v>33.556138500000003</v>
      </c>
      <c r="L28" s="34"/>
      <c r="M28" s="34"/>
      <c r="N28" s="34">
        <f>AVERAGE(N16:N27)</f>
        <v>5.7112277000000011</v>
      </c>
      <c r="O28" s="34">
        <f>AVERAGE(O16:O27)</f>
        <v>41.017366200000005</v>
      </c>
    </row>
    <row r="29" spans="1:15" x14ac:dyDescent="0.3">
      <c r="A29" s="19">
        <v>44533</v>
      </c>
      <c r="B29" s="20">
        <v>0.27083333333333331</v>
      </c>
      <c r="C29" s="21">
        <v>38.9</v>
      </c>
      <c r="D29" s="22">
        <v>32.200000000000003</v>
      </c>
      <c r="E29" s="7">
        <v>26</v>
      </c>
      <c r="F29" s="11">
        <f>C29-D29</f>
        <v>6.6999999999999957</v>
      </c>
      <c r="G29" s="23">
        <f>D29-E29</f>
        <v>6.2000000000000028</v>
      </c>
      <c r="H29" s="24">
        <f>(F29/(F29+G29))*100</f>
        <v>51.937984496124002</v>
      </c>
      <c r="I29" s="25">
        <v>3273</v>
      </c>
      <c r="J29" s="26">
        <f t="shared" si="6"/>
        <v>6.6999999999999957</v>
      </c>
      <c r="K29" s="21">
        <f t="shared" si="7"/>
        <v>33.551522999999975</v>
      </c>
      <c r="L29" s="27">
        <v>1.75</v>
      </c>
      <c r="M29" s="28">
        <v>5</v>
      </c>
      <c r="N29" s="29">
        <f t="shared" si="4"/>
        <v>5.7103045999999953</v>
      </c>
      <c r="O29" s="30">
        <f t="shared" si="5"/>
        <v>41.011827599999968</v>
      </c>
    </row>
    <row r="30" spans="1:15" x14ac:dyDescent="0.3">
      <c r="A30" s="31"/>
      <c r="B30" s="20">
        <v>0.35416666666666669</v>
      </c>
      <c r="C30" s="21">
        <v>39.200000000000003</v>
      </c>
      <c r="D30" s="22">
        <v>32.299999999999997</v>
      </c>
      <c r="E30" s="7">
        <v>26</v>
      </c>
      <c r="F30" s="11">
        <f t="shared" ref="F30:F40" si="11">C30-D30</f>
        <v>6.9000000000000057</v>
      </c>
      <c r="G30" s="23">
        <f t="shared" ref="G30:G40" si="12">D30-E30</f>
        <v>6.2999999999999972</v>
      </c>
      <c r="H30" s="24">
        <f t="shared" ref="H30:H92" si="13">(F30/(F30+G30))*100</f>
        <v>52.272727272727302</v>
      </c>
      <c r="I30" s="25">
        <v>3291</v>
      </c>
      <c r="J30" s="26">
        <f t="shared" si="6"/>
        <v>6.9000000000000057</v>
      </c>
      <c r="K30" s="21">
        <f t="shared" si="7"/>
        <v>34.743087000000024</v>
      </c>
      <c r="L30" s="27">
        <v>1.75</v>
      </c>
      <c r="M30" s="28">
        <v>5</v>
      </c>
      <c r="N30" s="29">
        <f t="shared" si="4"/>
        <v>5.9486174000000052</v>
      </c>
      <c r="O30" s="30">
        <f t="shared" si="5"/>
        <v>42.441704400000027</v>
      </c>
    </row>
    <row r="31" spans="1:15" x14ac:dyDescent="0.3">
      <c r="A31" s="31"/>
      <c r="B31" s="20">
        <v>0.4375</v>
      </c>
      <c r="C31" s="21">
        <v>39.6</v>
      </c>
      <c r="D31" s="22">
        <v>33</v>
      </c>
      <c r="E31" s="7">
        <v>26</v>
      </c>
      <c r="F31" s="11">
        <f t="shared" si="11"/>
        <v>6.6000000000000014</v>
      </c>
      <c r="G31" s="23">
        <f t="shared" si="12"/>
        <v>7</v>
      </c>
      <c r="H31" s="24">
        <f t="shared" si="13"/>
        <v>48.529411764705884</v>
      </c>
      <c r="I31" s="25">
        <v>3286</v>
      </c>
      <c r="J31" s="26">
        <f t="shared" si="6"/>
        <v>6.6000000000000014</v>
      </c>
      <c r="K31" s="21">
        <f t="shared" si="7"/>
        <v>33.182028000000003</v>
      </c>
      <c r="L31" s="27">
        <v>1.75</v>
      </c>
      <c r="M31" s="28">
        <v>5</v>
      </c>
      <c r="N31" s="29">
        <f t="shared" si="4"/>
        <v>5.6364056000000007</v>
      </c>
      <c r="O31" s="30">
        <f t="shared" si="5"/>
        <v>40.568433600000006</v>
      </c>
    </row>
    <row r="32" spans="1:15" x14ac:dyDescent="0.3">
      <c r="A32" s="31"/>
      <c r="B32" s="20">
        <v>0.52083333333333337</v>
      </c>
      <c r="C32" s="21">
        <v>40.299999999999997</v>
      </c>
      <c r="D32" s="22">
        <v>33.5</v>
      </c>
      <c r="E32" s="7">
        <v>26</v>
      </c>
      <c r="F32" s="11">
        <f t="shared" si="11"/>
        <v>6.7999999999999972</v>
      </c>
      <c r="G32" s="23">
        <f t="shared" si="12"/>
        <v>7.5</v>
      </c>
      <c r="H32" s="24">
        <f t="shared" si="13"/>
        <v>47.552447552447539</v>
      </c>
      <c r="I32" s="25">
        <v>3214</v>
      </c>
      <c r="J32" s="26">
        <f t="shared" si="6"/>
        <v>6.7999999999999972</v>
      </c>
      <c r="K32" s="21">
        <f t="shared" si="7"/>
        <v>33.438455999999988</v>
      </c>
      <c r="L32" s="27">
        <v>1.75</v>
      </c>
      <c r="M32" s="28">
        <v>5</v>
      </c>
      <c r="N32" s="29">
        <f t="shared" si="4"/>
        <v>5.6876911999999979</v>
      </c>
      <c r="O32" s="30">
        <f t="shared" si="5"/>
        <v>40.876147199999984</v>
      </c>
    </row>
    <row r="33" spans="1:15" x14ac:dyDescent="0.3">
      <c r="A33" s="31"/>
      <c r="B33" s="20">
        <v>0.60416666666666663</v>
      </c>
      <c r="C33" s="21">
        <v>40.6</v>
      </c>
      <c r="D33" s="22">
        <v>33.799999999999997</v>
      </c>
      <c r="E33" s="7">
        <v>26</v>
      </c>
      <c r="F33" s="11">
        <f t="shared" si="11"/>
        <v>6.8000000000000043</v>
      </c>
      <c r="G33" s="23">
        <f t="shared" si="12"/>
        <v>7.7999999999999972</v>
      </c>
      <c r="H33" s="24">
        <f t="shared" si="13"/>
        <v>46.575342465753451</v>
      </c>
      <c r="I33" s="25">
        <v>3269</v>
      </c>
      <c r="J33" s="26">
        <f t="shared" si="6"/>
        <v>6.8000000000000043</v>
      </c>
      <c r="K33" s="21">
        <f t="shared" si="7"/>
        <v>34.010676000000025</v>
      </c>
      <c r="L33" s="27">
        <v>1.75</v>
      </c>
      <c r="M33" s="28">
        <v>5</v>
      </c>
      <c r="N33" s="29">
        <f t="shared" si="4"/>
        <v>5.8021352000000048</v>
      </c>
      <c r="O33" s="30">
        <f t="shared" si="5"/>
        <v>41.562811200000027</v>
      </c>
    </row>
    <row r="34" spans="1:15" x14ac:dyDescent="0.3">
      <c r="A34" s="31"/>
      <c r="B34" s="20">
        <v>0.6875</v>
      </c>
      <c r="C34" s="21">
        <v>41.3</v>
      </c>
      <c r="D34" s="22">
        <v>34.200000000000003</v>
      </c>
      <c r="E34" s="7">
        <v>26</v>
      </c>
      <c r="F34" s="11">
        <f t="shared" si="11"/>
        <v>7.0999999999999943</v>
      </c>
      <c r="G34" s="23">
        <f t="shared" si="12"/>
        <v>8.2000000000000028</v>
      </c>
      <c r="H34" s="24">
        <f t="shared" si="13"/>
        <v>46.405228758169912</v>
      </c>
      <c r="I34" s="25">
        <v>3179</v>
      </c>
      <c r="J34" s="26">
        <f t="shared" si="6"/>
        <v>7.0999999999999943</v>
      </c>
      <c r="K34" s="21">
        <f t="shared" si="7"/>
        <v>34.533476999999969</v>
      </c>
      <c r="L34" s="27">
        <v>1.75</v>
      </c>
      <c r="M34" s="28">
        <v>5</v>
      </c>
      <c r="N34" s="29">
        <f t="shared" si="4"/>
        <v>5.906695399999994</v>
      </c>
      <c r="O34" s="30">
        <f t="shared" si="5"/>
        <v>42.190172399999966</v>
      </c>
    </row>
    <row r="35" spans="1:15" x14ac:dyDescent="0.3">
      <c r="A35" s="31"/>
      <c r="B35" s="20">
        <v>0.77083333333333337</v>
      </c>
      <c r="C35" s="21">
        <v>41.4</v>
      </c>
      <c r="D35" s="22">
        <v>34.299999999999997</v>
      </c>
      <c r="E35" s="7">
        <v>26</v>
      </c>
      <c r="F35" s="11">
        <f t="shared" si="11"/>
        <v>7.1000000000000014</v>
      </c>
      <c r="G35" s="23">
        <f t="shared" si="12"/>
        <v>8.2999999999999972</v>
      </c>
      <c r="H35" s="24">
        <f t="shared" si="13"/>
        <v>46.103896103896119</v>
      </c>
      <c r="I35" s="25">
        <v>3184</v>
      </c>
      <c r="J35" s="26">
        <f t="shared" si="6"/>
        <v>7.1000000000000014</v>
      </c>
      <c r="K35" s="21">
        <f t="shared" si="7"/>
        <v>34.587792</v>
      </c>
      <c r="L35" s="27">
        <v>1.75</v>
      </c>
      <c r="M35" s="28">
        <v>5</v>
      </c>
      <c r="N35" s="29">
        <f t="shared" si="4"/>
        <v>5.9175583999999999</v>
      </c>
      <c r="O35" s="30">
        <f t="shared" si="5"/>
        <v>42.255350399999998</v>
      </c>
    </row>
    <row r="36" spans="1:15" x14ac:dyDescent="0.3">
      <c r="A36" s="31"/>
      <c r="B36" s="20">
        <v>0.85416666666666663</v>
      </c>
      <c r="C36" s="32">
        <v>40.299999999999997</v>
      </c>
      <c r="D36" s="22">
        <v>33.5</v>
      </c>
      <c r="E36" s="7">
        <v>26</v>
      </c>
      <c r="F36" s="11">
        <f t="shared" si="11"/>
        <v>6.7999999999999972</v>
      </c>
      <c r="G36" s="23">
        <f t="shared" si="12"/>
        <v>7.5</v>
      </c>
      <c r="H36" s="24">
        <f t="shared" si="13"/>
        <v>47.552447552447539</v>
      </c>
      <c r="I36" s="25">
        <v>3218</v>
      </c>
      <c r="J36" s="26">
        <f t="shared" si="6"/>
        <v>6.7999999999999972</v>
      </c>
      <c r="K36" s="21">
        <f t="shared" si="7"/>
        <v>33.480071999999986</v>
      </c>
      <c r="L36" s="27">
        <v>1.75</v>
      </c>
      <c r="M36" s="28">
        <v>5</v>
      </c>
      <c r="N36" s="29">
        <f t="shared" si="4"/>
        <v>5.6960143999999975</v>
      </c>
      <c r="O36" s="30">
        <f t="shared" si="5"/>
        <v>40.926086399999981</v>
      </c>
    </row>
    <row r="37" spans="1:15" x14ac:dyDescent="0.3">
      <c r="A37" s="31"/>
      <c r="B37" s="20">
        <v>0.9375</v>
      </c>
      <c r="C37" s="21">
        <v>40.200000000000003</v>
      </c>
      <c r="D37" s="22">
        <v>33.299999999999997</v>
      </c>
      <c r="E37" s="7">
        <v>26</v>
      </c>
      <c r="F37" s="11">
        <f t="shared" si="11"/>
        <v>6.9000000000000057</v>
      </c>
      <c r="G37" s="23">
        <f t="shared" si="12"/>
        <v>7.2999999999999972</v>
      </c>
      <c r="H37" s="24">
        <f t="shared" si="13"/>
        <v>48.591549295774676</v>
      </c>
      <c r="I37" s="25">
        <v>3215</v>
      </c>
      <c r="J37" s="26">
        <f t="shared" si="6"/>
        <v>6.9000000000000057</v>
      </c>
      <c r="K37" s="21">
        <f t="shared" si="7"/>
        <v>33.940755000000024</v>
      </c>
      <c r="L37" s="27">
        <v>1.75</v>
      </c>
      <c r="M37" s="28">
        <v>5</v>
      </c>
      <c r="N37" s="29">
        <f t="shared" si="4"/>
        <v>5.7881510000000045</v>
      </c>
      <c r="O37" s="30">
        <f t="shared" si="5"/>
        <v>41.47890600000003</v>
      </c>
    </row>
    <row r="38" spans="1:15" x14ac:dyDescent="0.3">
      <c r="A38" s="31"/>
      <c r="B38" s="20">
        <v>2.0833333333333332E-2</v>
      </c>
      <c r="C38" s="21">
        <v>40</v>
      </c>
      <c r="D38" s="22">
        <v>33.1</v>
      </c>
      <c r="E38" s="7">
        <v>26</v>
      </c>
      <c r="F38" s="11">
        <f t="shared" si="11"/>
        <v>6.8999999999999986</v>
      </c>
      <c r="G38" s="23">
        <f t="shared" si="12"/>
        <v>7.1000000000000014</v>
      </c>
      <c r="H38" s="24">
        <f t="shared" si="13"/>
        <v>49.285714285714278</v>
      </c>
      <c r="I38" s="25">
        <v>3126</v>
      </c>
      <c r="J38" s="26">
        <f t="shared" si="6"/>
        <v>6.8999999999999986</v>
      </c>
      <c r="K38" s="21">
        <f t="shared" si="7"/>
        <v>33.001181999999993</v>
      </c>
      <c r="L38" s="27">
        <v>1.75</v>
      </c>
      <c r="M38" s="28">
        <v>5</v>
      </c>
      <c r="N38" s="29">
        <f t="shared" si="4"/>
        <v>5.6002363999999982</v>
      </c>
      <c r="O38" s="30">
        <f t="shared" si="5"/>
        <v>40.351418399999993</v>
      </c>
    </row>
    <row r="39" spans="1:15" x14ac:dyDescent="0.3">
      <c r="A39" s="31"/>
      <c r="B39" s="20">
        <v>0.10416666666666667</v>
      </c>
      <c r="C39" s="21">
        <v>39.700000000000003</v>
      </c>
      <c r="D39" s="22">
        <v>33</v>
      </c>
      <c r="E39" s="7">
        <v>26</v>
      </c>
      <c r="F39" s="11">
        <f t="shared" si="11"/>
        <v>6.7000000000000028</v>
      </c>
      <c r="G39" s="23">
        <f t="shared" si="12"/>
        <v>7</v>
      </c>
      <c r="H39" s="24">
        <f t="shared" si="13"/>
        <v>48.905109489051107</v>
      </c>
      <c r="I39" s="25">
        <v>3195</v>
      </c>
      <c r="J39" s="26">
        <f t="shared" si="6"/>
        <v>6.7000000000000028</v>
      </c>
      <c r="K39" s="21">
        <f t="shared" si="7"/>
        <v>32.751945000000013</v>
      </c>
      <c r="L39" s="27">
        <v>1.75</v>
      </c>
      <c r="M39" s="28">
        <v>5</v>
      </c>
      <c r="N39" s="29">
        <f t="shared" si="4"/>
        <v>5.5503890000000027</v>
      </c>
      <c r="O39" s="30">
        <f t="shared" si="5"/>
        <v>40.052334000000016</v>
      </c>
    </row>
    <row r="40" spans="1:15" x14ac:dyDescent="0.3">
      <c r="A40" s="31"/>
      <c r="B40" s="20">
        <v>0.1875</v>
      </c>
      <c r="C40" s="21">
        <v>40.1</v>
      </c>
      <c r="D40" s="33">
        <v>33.299999999999997</v>
      </c>
      <c r="E40" s="7">
        <v>26</v>
      </c>
      <c r="F40" s="11">
        <f t="shared" si="11"/>
        <v>6.8000000000000043</v>
      </c>
      <c r="G40" s="23">
        <f t="shared" si="12"/>
        <v>7.2999999999999972</v>
      </c>
      <c r="H40" s="24">
        <f t="shared" si="13"/>
        <v>48.226950354609954</v>
      </c>
      <c r="I40" s="25">
        <v>3262</v>
      </c>
      <c r="J40" s="26">
        <f t="shared" si="6"/>
        <v>6.8000000000000043</v>
      </c>
      <c r="K40" s="21">
        <f t="shared" si="7"/>
        <v>33.937848000000017</v>
      </c>
      <c r="L40" s="27">
        <v>1.75</v>
      </c>
      <c r="M40" s="28">
        <v>5</v>
      </c>
      <c r="N40" s="29">
        <f t="shared" si="4"/>
        <v>5.787569600000003</v>
      </c>
      <c r="O40" s="30">
        <f t="shared" si="5"/>
        <v>41.475417600000021</v>
      </c>
    </row>
    <row r="41" spans="1:15" s="3" customFormat="1" x14ac:dyDescent="0.3">
      <c r="A41" s="34"/>
      <c r="B41" s="34"/>
      <c r="C41" s="34"/>
      <c r="D41" s="34"/>
      <c r="E41" s="34"/>
      <c r="F41" s="34"/>
      <c r="G41" s="34" t="s">
        <v>8</v>
      </c>
      <c r="H41" s="34">
        <f>AVERAGE(H29:H40)</f>
        <v>48.49490078261848</v>
      </c>
      <c r="I41" s="34"/>
      <c r="J41" s="34"/>
      <c r="K41" s="34">
        <f>AVERAGE(K29:K40)</f>
        <v>33.763236750000004</v>
      </c>
      <c r="L41" s="34"/>
      <c r="M41" s="34"/>
      <c r="N41" s="34">
        <f>AVERAGE(N29:N40)</f>
        <v>5.7526473500000002</v>
      </c>
      <c r="O41" s="34">
        <f>AVERAGE(O29:O40)</f>
        <v>41.265884100000001</v>
      </c>
    </row>
    <row r="42" spans="1:15" x14ac:dyDescent="0.3">
      <c r="A42" s="19">
        <v>44534</v>
      </c>
      <c r="B42" s="20">
        <v>0.27083333333333331</v>
      </c>
      <c r="C42" s="21">
        <v>39.799999999999997</v>
      </c>
      <c r="D42" s="22">
        <v>32</v>
      </c>
      <c r="E42" s="7">
        <v>26</v>
      </c>
      <c r="F42" s="11">
        <f>C42-D42</f>
        <v>7.7999999999999972</v>
      </c>
      <c r="G42" s="23">
        <f>D42-E42</f>
        <v>6</v>
      </c>
      <c r="H42" s="24">
        <f t="shared" si="13"/>
        <v>56.521739130434781</v>
      </c>
      <c r="I42" s="25">
        <v>3309</v>
      </c>
      <c r="J42" s="26">
        <f t="shared" si="6"/>
        <v>7.7999999999999972</v>
      </c>
      <c r="K42" s="21">
        <f t="shared" si="7"/>
        <v>39.489605999999981</v>
      </c>
      <c r="L42" s="27">
        <v>1.75</v>
      </c>
      <c r="M42" s="28">
        <v>5</v>
      </c>
      <c r="N42" s="29">
        <f t="shared" si="4"/>
        <v>6.8979211999999963</v>
      </c>
      <c r="O42" s="30">
        <f t="shared" si="5"/>
        <v>48.13752719999998</v>
      </c>
    </row>
    <row r="43" spans="1:15" x14ac:dyDescent="0.3">
      <c r="A43" s="31"/>
      <c r="B43" s="20">
        <v>0.35416666666666669</v>
      </c>
      <c r="C43" s="21">
        <v>38.1</v>
      </c>
      <c r="D43" s="22">
        <v>32</v>
      </c>
      <c r="E43" s="7">
        <v>26</v>
      </c>
      <c r="F43" s="11">
        <f t="shared" ref="F43:F53" si="14">C43-D43</f>
        <v>6.1000000000000014</v>
      </c>
      <c r="G43" s="23">
        <f t="shared" ref="G43:G53" si="15">D43-E43</f>
        <v>6</v>
      </c>
      <c r="H43" s="24">
        <f t="shared" si="13"/>
        <v>50.41322314049588</v>
      </c>
      <c r="I43" s="25">
        <v>3161</v>
      </c>
      <c r="J43" s="26">
        <f t="shared" si="6"/>
        <v>6.1000000000000014</v>
      </c>
      <c r="K43" s="21">
        <f t="shared" si="7"/>
        <v>29.501613000000003</v>
      </c>
      <c r="L43" s="27">
        <v>1.75</v>
      </c>
      <c r="M43" s="28">
        <v>5</v>
      </c>
      <c r="N43" s="29">
        <f t="shared" si="4"/>
        <v>4.9003226000000009</v>
      </c>
      <c r="O43" s="30">
        <f t="shared" si="5"/>
        <v>36.151935600000002</v>
      </c>
    </row>
    <row r="44" spans="1:15" x14ac:dyDescent="0.3">
      <c r="A44" s="31"/>
      <c r="B44" s="20">
        <v>0.4375</v>
      </c>
      <c r="C44" s="21">
        <v>38.1</v>
      </c>
      <c r="D44" s="22">
        <v>32</v>
      </c>
      <c r="E44" s="7">
        <v>26</v>
      </c>
      <c r="F44" s="11">
        <f t="shared" si="14"/>
        <v>6.1000000000000014</v>
      </c>
      <c r="G44" s="23">
        <f t="shared" si="15"/>
        <v>6</v>
      </c>
      <c r="H44" s="24">
        <f t="shared" si="13"/>
        <v>50.41322314049588</v>
      </c>
      <c r="I44" s="25">
        <v>3161</v>
      </c>
      <c r="J44" s="26">
        <f t="shared" si="6"/>
        <v>6.1000000000000014</v>
      </c>
      <c r="K44" s="21">
        <f t="shared" si="7"/>
        <v>29.501613000000003</v>
      </c>
      <c r="L44" s="27">
        <v>1.75</v>
      </c>
      <c r="M44" s="28">
        <v>5</v>
      </c>
      <c r="N44" s="29">
        <f t="shared" si="4"/>
        <v>4.9003226000000009</v>
      </c>
      <c r="O44" s="30">
        <f t="shared" si="5"/>
        <v>36.151935600000002</v>
      </c>
    </row>
    <row r="45" spans="1:15" x14ac:dyDescent="0.3">
      <c r="A45" s="31"/>
      <c r="B45" s="20">
        <v>0.52083333333333337</v>
      </c>
      <c r="C45" s="21">
        <v>41.1</v>
      </c>
      <c r="D45" s="22">
        <v>33.799999999999997</v>
      </c>
      <c r="E45" s="7">
        <v>26</v>
      </c>
      <c r="F45" s="11">
        <f t="shared" si="14"/>
        <v>7.3000000000000043</v>
      </c>
      <c r="G45" s="23">
        <f t="shared" si="15"/>
        <v>7.7999999999999972</v>
      </c>
      <c r="H45" s="24">
        <f t="shared" si="13"/>
        <v>48.344370860927178</v>
      </c>
      <c r="I45" s="25">
        <v>3161</v>
      </c>
      <c r="J45" s="26">
        <f t="shared" si="6"/>
        <v>7.3000000000000043</v>
      </c>
      <c r="K45" s="21">
        <f t="shared" si="7"/>
        <v>35.305209000000019</v>
      </c>
      <c r="L45" s="27">
        <v>1.75</v>
      </c>
      <c r="M45" s="28">
        <v>5</v>
      </c>
      <c r="N45" s="29">
        <f t="shared" si="4"/>
        <v>6.0610418000000035</v>
      </c>
      <c r="O45" s="30">
        <f t="shared" si="5"/>
        <v>43.116250800000024</v>
      </c>
    </row>
    <row r="46" spans="1:15" x14ac:dyDescent="0.3">
      <c r="A46" s="31"/>
      <c r="B46" s="20">
        <v>0.60416666666666663</v>
      </c>
      <c r="C46" s="21">
        <v>39.6</v>
      </c>
      <c r="D46" s="22">
        <v>33.5</v>
      </c>
      <c r="E46" s="7">
        <v>26</v>
      </c>
      <c r="F46" s="11">
        <f t="shared" si="14"/>
        <v>6.1000000000000014</v>
      </c>
      <c r="G46" s="23">
        <f t="shared" si="15"/>
        <v>7.5</v>
      </c>
      <c r="H46" s="24">
        <f t="shared" si="13"/>
        <v>44.852941176470594</v>
      </c>
      <c r="I46" s="25">
        <v>3250</v>
      </c>
      <c r="J46" s="26">
        <f t="shared" si="6"/>
        <v>6.1000000000000014</v>
      </c>
      <c r="K46" s="21">
        <f t="shared" si="7"/>
        <v>30.332250000000002</v>
      </c>
      <c r="L46" s="27">
        <v>1.75</v>
      </c>
      <c r="M46" s="28">
        <v>5</v>
      </c>
      <c r="N46" s="29">
        <f t="shared" si="4"/>
        <v>5.0664500000000006</v>
      </c>
      <c r="O46" s="30">
        <f t="shared" si="5"/>
        <v>37.148700000000005</v>
      </c>
    </row>
    <row r="47" spans="1:15" x14ac:dyDescent="0.3">
      <c r="A47" s="31"/>
      <c r="B47" s="20">
        <v>0.6875</v>
      </c>
      <c r="C47" s="21">
        <v>39.9</v>
      </c>
      <c r="D47" s="22">
        <v>33.799999999999997</v>
      </c>
      <c r="E47" s="7">
        <v>26</v>
      </c>
      <c r="F47" s="11">
        <f t="shared" si="14"/>
        <v>6.1000000000000014</v>
      </c>
      <c r="G47" s="23">
        <f t="shared" si="15"/>
        <v>7.7999999999999972</v>
      </c>
      <c r="H47" s="24">
        <f t="shared" si="13"/>
        <v>43.88489208633095</v>
      </c>
      <c r="I47" s="25">
        <v>3139</v>
      </c>
      <c r="J47" s="26">
        <f t="shared" si="6"/>
        <v>6.1000000000000014</v>
      </c>
      <c r="K47" s="21">
        <f t="shared" si="7"/>
        <v>29.296287000000007</v>
      </c>
      <c r="L47" s="27">
        <v>1.75</v>
      </c>
      <c r="M47" s="28">
        <v>5</v>
      </c>
      <c r="N47" s="29">
        <f t="shared" si="4"/>
        <v>4.8592574000000015</v>
      </c>
      <c r="O47" s="30">
        <f t="shared" si="5"/>
        <v>35.905544400000011</v>
      </c>
    </row>
    <row r="48" spans="1:15" x14ac:dyDescent="0.3">
      <c r="A48" s="31"/>
      <c r="B48" s="20">
        <v>0.77083333333333337</v>
      </c>
      <c r="C48" s="21">
        <v>40</v>
      </c>
      <c r="D48" s="22">
        <v>33.799999999999997</v>
      </c>
      <c r="E48" s="7">
        <v>26</v>
      </c>
      <c r="F48" s="11">
        <f t="shared" si="14"/>
        <v>6.2000000000000028</v>
      </c>
      <c r="G48" s="23">
        <f t="shared" si="15"/>
        <v>7.7999999999999972</v>
      </c>
      <c r="H48" s="24">
        <f t="shared" si="13"/>
        <v>44.285714285714306</v>
      </c>
      <c r="I48" s="25">
        <v>3149</v>
      </c>
      <c r="J48" s="26">
        <f t="shared" si="6"/>
        <v>6.2000000000000028</v>
      </c>
      <c r="K48" s="21">
        <f t="shared" si="7"/>
        <v>29.871414000000012</v>
      </c>
      <c r="L48" s="27">
        <v>1.75</v>
      </c>
      <c r="M48" s="28">
        <v>5</v>
      </c>
      <c r="N48" s="29">
        <f t="shared" si="4"/>
        <v>4.9742828000000028</v>
      </c>
      <c r="O48" s="30">
        <f t="shared" si="5"/>
        <v>36.595696800000013</v>
      </c>
    </row>
    <row r="49" spans="1:15" x14ac:dyDescent="0.3">
      <c r="A49" s="31"/>
      <c r="B49" s="20">
        <v>0.85416666666666663</v>
      </c>
      <c r="C49" s="32">
        <v>39.799999999999997</v>
      </c>
      <c r="D49" s="22">
        <v>33.5</v>
      </c>
      <c r="E49" s="7">
        <v>26</v>
      </c>
      <c r="F49" s="11">
        <f t="shared" si="14"/>
        <v>6.2999999999999972</v>
      </c>
      <c r="G49" s="23">
        <f t="shared" si="15"/>
        <v>7.5</v>
      </c>
      <c r="H49" s="24">
        <f t="shared" si="13"/>
        <v>45.652173913043463</v>
      </c>
      <c r="I49" s="25">
        <v>3111</v>
      </c>
      <c r="J49" s="26">
        <f t="shared" si="6"/>
        <v>6.2999999999999972</v>
      </c>
      <c r="K49" s="21">
        <f t="shared" si="7"/>
        <v>29.986928999999986</v>
      </c>
      <c r="L49" s="27">
        <v>1.75</v>
      </c>
      <c r="M49" s="28">
        <v>5</v>
      </c>
      <c r="N49" s="29">
        <f t="shared" si="4"/>
        <v>4.9973857999999973</v>
      </c>
      <c r="O49" s="30">
        <f t="shared" si="5"/>
        <v>36.734314799999986</v>
      </c>
    </row>
    <row r="50" spans="1:15" x14ac:dyDescent="0.3">
      <c r="A50" s="31"/>
      <c r="B50" s="20">
        <v>0.9375</v>
      </c>
      <c r="C50" s="21">
        <v>39.6</v>
      </c>
      <c r="D50" s="22">
        <v>33.200000000000003</v>
      </c>
      <c r="E50" s="7">
        <v>26</v>
      </c>
      <c r="F50" s="11">
        <f t="shared" si="14"/>
        <v>6.3999999999999986</v>
      </c>
      <c r="G50" s="23">
        <f t="shared" si="15"/>
        <v>7.2000000000000028</v>
      </c>
      <c r="H50" s="24">
        <f t="shared" si="13"/>
        <v>47.058823529411747</v>
      </c>
      <c r="I50" s="25">
        <v>3150</v>
      </c>
      <c r="J50" s="26">
        <f t="shared" si="6"/>
        <v>6.3999999999999986</v>
      </c>
      <c r="K50" s="21">
        <f t="shared" si="7"/>
        <v>30.844799999999992</v>
      </c>
      <c r="L50" s="27">
        <v>1.75</v>
      </c>
      <c r="M50" s="28">
        <v>5</v>
      </c>
      <c r="N50" s="29">
        <f t="shared" si="4"/>
        <v>5.1689599999999984</v>
      </c>
      <c r="O50" s="30">
        <f t="shared" si="5"/>
        <v>37.763759999999991</v>
      </c>
    </row>
    <row r="51" spans="1:15" x14ac:dyDescent="0.3">
      <c r="A51" s="31"/>
      <c r="B51" s="20">
        <v>2.0833333333333332E-2</v>
      </c>
      <c r="C51" s="21">
        <v>39.700000000000003</v>
      </c>
      <c r="D51" s="22">
        <v>33.200000000000003</v>
      </c>
      <c r="E51" s="7">
        <v>26</v>
      </c>
      <c r="F51" s="11">
        <f t="shared" si="14"/>
        <v>6.5</v>
      </c>
      <c r="G51" s="23">
        <f t="shared" si="15"/>
        <v>7.2000000000000028</v>
      </c>
      <c r="H51" s="24">
        <f t="shared" si="13"/>
        <v>47.445255474452544</v>
      </c>
      <c r="I51" s="25">
        <v>3035</v>
      </c>
      <c r="J51" s="26">
        <f t="shared" si="6"/>
        <v>6.5</v>
      </c>
      <c r="K51" s="21">
        <f t="shared" si="7"/>
        <v>30.183074999999995</v>
      </c>
      <c r="L51" s="27">
        <v>1.75</v>
      </c>
      <c r="M51" s="28">
        <v>5</v>
      </c>
      <c r="N51" s="29">
        <f t="shared" si="4"/>
        <v>5.0366149999999994</v>
      </c>
      <c r="O51" s="30">
        <f t="shared" si="5"/>
        <v>36.969689999999993</v>
      </c>
    </row>
    <row r="52" spans="1:15" x14ac:dyDescent="0.3">
      <c r="A52" s="31"/>
      <c r="B52" s="20">
        <v>0.10416666666666667</v>
      </c>
      <c r="C52" s="21">
        <v>40.5</v>
      </c>
      <c r="D52" s="22">
        <v>33.799999999999997</v>
      </c>
      <c r="E52" s="7">
        <v>26</v>
      </c>
      <c r="F52" s="11">
        <f t="shared" si="14"/>
        <v>6.7000000000000028</v>
      </c>
      <c r="G52" s="23">
        <f t="shared" si="15"/>
        <v>7.7999999999999972</v>
      </c>
      <c r="H52" s="24">
        <f t="shared" si="13"/>
        <v>46.206896551724157</v>
      </c>
      <c r="I52" s="25">
        <v>3082</v>
      </c>
      <c r="J52" s="26">
        <f t="shared" si="6"/>
        <v>6.7000000000000028</v>
      </c>
      <c r="K52" s="21">
        <f t="shared" si="7"/>
        <v>31.593582000000008</v>
      </c>
      <c r="L52" s="27">
        <v>1.75</v>
      </c>
      <c r="M52" s="28">
        <v>5</v>
      </c>
      <c r="N52" s="29">
        <f t="shared" si="4"/>
        <v>5.3187164000000013</v>
      </c>
      <c r="O52" s="30">
        <f t="shared" si="5"/>
        <v>38.662298400000012</v>
      </c>
    </row>
    <row r="53" spans="1:15" x14ac:dyDescent="0.3">
      <c r="A53" s="31"/>
      <c r="B53" s="20">
        <v>0.1875</v>
      </c>
      <c r="C53" s="21">
        <v>40.299999999999997</v>
      </c>
      <c r="D53" s="33">
        <v>33.6</v>
      </c>
      <c r="E53" s="7">
        <v>26</v>
      </c>
      <c r="F53" s="11">
        <f t="shared" si="14"/>
        <v>6.6999999999999957</v>
      </c>
      <c r="G53" s="23">
        <f t="shared" si="15"/>
        <v>7.6000000000000014</v>
      </c>
      <c r="H53" s="24">
        <f t="shared" si="13"/>
        <v>46.853146853146832</v>
      </c>
      <c r="I53" s="25">
        <v>3110</v>
      </c>
      <c r="J53" s="26">
        <f t="shared" si="6"/>
        <v>6.6999999999999957</v>
      </c>
      <c r="K53" s="21">
        <f t="shared" si="7"/>
        <v>31.880609999999976</v>
      </c>
      <c r="L53" s="27">
        <v>1.75</v>
      </c>
      <c r="M53" s="28">
        <v>5</v>
      </c>
      <c r="N53" s="29">
        <f t="shared" si="4"/>
        <v>5.3761219999999952</v>
      </c>
      <c r="O53" s="30">
        <f t="shared" si="5"/>
        <v>39.006731999999971</v>
      </c>
    </row>
    <row r="54" spans="1:15" s="3" customFormat="1" x14ac:dyDescent="0.3">
      <c r="A54" s="34"/>
      <c r="B54" s="34"/>
      <c r="C54" s="34"/>
      <c r="D54" s="34"/>
      <c r="E54" s="34"/>
      <c r="F54" s="34"/>
      <c r="G54" s="34" t="s">
        <v>8</v>
      </c>
      <c r="H54" s="34">
        <f>AVERAGE(H42:H53)</f>
        <v>47.661033345220709</v>
      </c>
      <c r="I54" s="34"/>
      <c r="J54" s="34"/>
      <c r="K54" s="34">
        <f>AVERAGE(K42:K53)</f>
        <v>31.482248999999999</v>
      </c>
      <c r="L54" s="34"/>
      <c r="M54" s="34"/>
      <c r="N54" s="34">
        <f>AVERAGE(N42:N53)</f>
        <v>5.2964497999999995</v>
      </c>
      <c r="O54" s="34">
        <f>AVERAGE(O42:O53)</f>
        <v>38.528698800000001</v>
      </c>
    </row>
    <row r="55" spans="1:15" x14ac:dyDescent="0.3">
      <c r="A55" s="19">
        <v>44535</v>
      </c>
      <c r="B55" s="20">
        <v>0.27083333333333331</v>
      </c>
      <c r="C55" s="21">
        <v>39.799999999999997</v>
      </c>
      <c r="D55" s="22">
        <v>33.200000000000003</v>
      </c>
      <c r="E55" s="7">
        <v>26</v>
      </c>
      <c r="F55" s="11">
        <f>C55-D55</f>
        <v>6.5999999999999943</v>
      </c>
      <c r="G55" s="23">
        <f>D55-E55</f>
        <v>7.2000000000000028</v>
      </c>
      <c r="H55" s="24">
        <f t="shared" si="13"/>
        <v>47.826086956521706</v>
      </c>
      <c r="I55" s="25">
        <v>3192</v>
      </c>
      <c r="J55" s="26">
        <f t="shared" si="6"/>
        <v>6.5999999999999943</v>
      </c>
      <c r="K55" s="21">
        <f t="shared" si="7"/>
        <v>32.232815999999971</v>
      </c>
      <c r="L55" s="27">
        <v>1.75</v>
      </c>
      <c r="M55" s="28">
        <v>5</v>
      </c>
      <c r="N55" s="29">
        <f t="shared" si="4"/>
        <v>5.4465631999999946</v>
      </c>
      <c r="O55" s="30">
        <f t="shared" si="5"/>
        <v>39.429379199999964</v>
      </c>
    </row>
    <row r="56" spans="1:15" x14ac:dyDescent="0.3">
      <c r="A56" s="31"/>
      <c r="B56" s="20">
        <v>0.35416666666666669</v>
      </c>
      <c r="C56" s="21">
        <v>40.9</v>
      </c>
      <c r="D56" s="22">
        <v>33.9</v>
      </c>
      <c r="E56" s="7">
        <v>26</v>
      </c>
      <c r="F56" s="11">
        <f t="shared" ref="F56:F66" si="16">C56-D56</f>
        <v>7</v>
      </c>
      <c r="G56" s="23">
        <f t="shared" ref="G56:G66" si="17">D56-E56</f>
        <v>7.8999999999999986</v>
      </c>
      <c r="H56" s="24">
        <f t="shared" si="13"/>
        <v>46.979865771812086</v>
      </c>
      <c r="I56" s="25">
        <v>3103</v>
      </c>
      <c r="J56" s="26">
        <f t="shared" si="6"/>
        <v>7</v>
      </c>
      <c r="K56" s="21">
        <f t="shared" si="7"/>
        <v>33.233129999999996</v>
      </c>
      <c r="L56" s="27">
        <v>1.75</v>
      </c>
      <c r="M56" s="28">
        <v>5</v>
      </c>
      <c r="N56" s="29">
        <f t="shared" si="4"/>
        <v>5.6466259999999995</v>
      </c>
      <c r="O56" s="30">
        <f t="shared" si="5"/>
        <v>40.629755999999993</v>
      </c>
    </row>
    <row r="57" spans="1:15" x14ac:dyDescent="0.3">
      <c r="A57" s="31"/>
      <c r="B57" s="20">
        <v>0.4375</v>
      </c>
      <c r="C57" s="21">
        <v>41.5</v>
      </c>
      <c r="D57" s="22">
        <v>34.4</v>
      </c>
      <c r="E57" s="7">
        <v>26</v>
      </c>
      <c r="F57" s="11">
        <f t="shared" si="16"/>
        <v>7.1000000000000014</v>
      </c>
      <c r="G57" s="23">
        <f t="shared" si="17"/>
        <v>8.3999999999999986</v>
      </c>
      <c r="H57" s="24">
        <f t="shared" si="13"/>
        <v>45.806451612903238</v>
      </c>
      <c r="I57" s="25">
        <v>3036</v>
      </c>
      <c r="J57" s="26">
        <f t="shared" si="6"/>
        <v>7.1000000000000014</v>
      </c>
      <c r="K57" s="21">
        <f t="shared" si="7"/>
        <v>32.98006800000001</v>
      </c>
      <c r="L57" s="27">
        <v>1.75</v>
      </c>
      <c r="M57" s="28">
        <v>5</v>
      </c>
      <c r="N57" s="29">
        <f t="shared" si="4"/>
        <v>5.5960136000000018</v>
      </c>
      <c r="O57" s="30">
        <f t="shared" si="5"/>
        <v>40.326081600000009</v>
      </c>
    </row>
    <row r="58" spans="1:15" x14ac:dyDescent="0.3">
      <c r="A58" s="31"/>
      <c r="B58" s="20">
        <v>0.52083333333333337</v>
      </c>
      <c r="C58" s="21">
        <v>42.4</v>
      </c>
      <c r="D58" s="22">
        <v>35.200000000000003</v>
      </c>
      <c r="E58" s="7">
        <v>26</v>
      </c>
      <c r="F58" s="11">
        <f t="shared" si="16"/>
        <v>7.1999999999999957</v>
      </c>
      <c r="G58" s="23">
        <f t="shared" si="17"/>
        <v>9.2000000000000028</v>
      </c>
      <c r="H58" s="24">
        <f t="shared" si="13"/>
        <v>43.902439024390219</v>
      </c>
      <c r="I58" s="25">
        <v>3103</v>
      </c>
      <c r="J58" s="26">
        <f t="shared" si="6"/>
        <v>7.1999999999999957</v>
      </c>
      <c r="K58" s="21">
        <f t="shared" si="7"/>
        <v>34.182647999999979</v>
      </c>
      <c r="L58" s="27">
        <v>1.75</v>
      </c>
      <c r="M58" s="28">
        <v>5</v>
      </c>
      <c r="N58" s="29">
        <f t="shared" si="4"/>
        <v>5.836529599999996</v>
      </c>
      <c r="O58" s="30">
        <f t="shared" si="5"/>
        <v>41.769177599999978</v>
      </c>
    </row>
    <row r="59" spans="1:15" x14ac:dyDescent="0.3">
      <c r="A59" s="31"/>
      <c r="B59" s="20">
        <v>0.60416666666666663</v>
      </c>
      <c r="C59" s="21">
        <v>42.6</v>
      </c>
      <c r="D59" s="22">
        <v>35.6</v>
      </c>
      <c r="E59" s="7">
        <v>26</v>
      </c>
      <c r="F59" s="11">
        <f t="shared" si="16"/>
        <v>7</v>
      </c>
      <c r="G59" s="23">
        <f t="shared" si="17"/>
        <v>9.6000000000000014</v>
      </c>
      <c r="H59" s="24">
        <f t="shared" si="13"/>
        <v>42.168674698795179</v>
      </c>
      <c r="I59" s="25">
        <v>3594</v>
      </c>
      <c r="J59" s="26">
        <f t="shared" si="6"/>
        <v>7</v>
      </c>
      <c r="K59" s="21">
        <f t="shared" si="7"/>
        <v>38.491739999999993</v>
      </c>
      <c r="L59" s="27">
        <v>1.75</v>
      </c>
      <c r="M59" s="28">
        <v>5</v>
      </c>
      <c r="N59" s="29">
        <f t="shared" si="4"/>
        <v>6.6983479999999984</v>
      </c>
      <c r="O59" s="30">
        <f t="shared" si="5"/>
        <v>46.940087999999989</v>
      </c>
    </row>
    <row r="60" spans="1:15" x14ac:dyDescent="0.3">
      <c r="A60" s="31"/>
      <c r="B60" s="20">
        <v>0.6875</v>
      </c>
      <c r="C60" s="21">
        <v>43</v>
      </c>
      <c r="D60" s="22">
        <v>35.700000000000003</v>
      </c>
      <c r="E60" s="7">
        <v>26</v>
      </c>
      <c r="F60" s="11">
        <f t="shared" si="16"/>
        <v>7.2999999999999972</v>
      </c>
      <c r="G60" s="23">
        <f t="shared" si="17"/>
        <v>9.7000000000000028</v>
      </c>
      <c r="H60" s="24">
        <f t="shared" si="13"/>
        <v>42.941176470588218</v>
      </c>
      <c r="I60" s="25">
        <v>3130</v>
      </c>
      <c r="J60" s="26">
        <f t="shared" si="6"/>
        <v>7.2999999999999972</v>
      </c>
      <c r="K60" s="21">
        <f t="shared" si="7"/>
        <v>34.958969999999987</v>
      </c>
      <c r="L60" s="27">
        <v>1.75</v>
      </c>
      <c r="M60" s="28">
        <v>5</v>
      </c>
      <c r="N60" s="29">
        <f t="shared" si="4"/>
        <v>5.991793999999997</v>
      </c>
      <c r="O60" s="30">
        <f t="shared" si="5"/>
        <v>42.700763999999985</v>
      </c>
    </row>
    <row r="61" spans="1:15" x14ac:dyDescent="0.3">
      <c r="A61" s="31"/>
      <c r="B61" s="20">
        <v>0.77083333333333337</v>
      </c>
      <c r="C61" s="21">
        <v>43.3</v>
      </c>
      <c r="D61" s="22">
        <v>35.799999999999997</v>
      </c>
      <c r="E61" s="7">
        <v>26</v>
      </c>
      <c r="F61" s="11">
        <f t="shared" si="16"/>
        <v>7.5</v>
      </c>
      <c r="G61" s="23">
        <f t="shared" si="17"/>
        <v>9.7999999999999972</v>
      </c>
      <c r="H61" s="24">
        <f t="shared" si="13"/>
        <v>43.352601156069369</v>
      </c>
      <c r="I61" s="25">
        <v>3152</v>
      </c>
      <c r="J61" s="26">
        <f t="shared" si="6"/>
        <v>7.5</v>
      </c>
      <c r="K61" s="21">
        <f t="shared" si="7"/>
        <v>36.169199999999996</v>
      </c>
      <c r="L61" s="27">
        <v>1.75</v>
      </c>
      <c r="M61" s="28">
        <v>5</v>
      </c>
      <c r="N61" s="29">
        <f t="shared" si="4"/>
        <v>6.2338399999999989</v>
      </c>
      <c r="O61" s="30">
        <f t="shared" si="5"/>
        <v>44.153039999999997</v>
      </c>
    </row>
    <row r="62" spans="1:15" x14ac:dyDescent="0.3">
      <c r="A62" s="31"/>
      <c r="B62" s="20">
        <v>0.85416666666666663</v>
      </c>
      <c r="C62" s="32">
        <v>43</v>
      </c>
      <c r="D62" s="22">
        <v>35.700000000000003</v>
      </c>
      <c r="E62" s="7">
        <v>26</v>
      </c>
      <c r="F62" s="11">
        <f t="shared" si="16"/>
        <v>7.2999999999999972</v>
      </c>
      <c r="G62" s="23">
        <f t="shared" si="17"/>
        <v>9.7000000000000028</v>
      </c>
      <c r="H62" s="24">
        <f t="shared" si="13"/>
        <v>42.941176470588218</v>
      </c>
      <c r="I62" s="25">
        <v>3063</v>
      </c>
      <c r="J62" s="26">
        <f t="shared" si="6"/>
        <v>7.2999999999999972</v>
      </c>
      <c r="K62" s="21">
        <f t="shared" si="7"/>
        <v>34.21064699999998</v>
      </c>
      <c r="L62" s="27">
        <v>1.75</v>
      </c>
      <c r="M62" s="28">
        <v>5</v>
      </c>
      <c r="N62" s="29">
        <f t="shared" si="4"/>
        <v>5.8421293999999957</v>
      </c>
      <c r="O62" s="30">
        <f t="shared" si="5"/>
        <v>41.802776399999978</v>
      </c>
    </row>
    <row r="63" spans="1:15" x14ac:dyDescent="0.3">
      <c r="A63" s="31"/>
      <c r="B63" s="20">
        <v>0.9375</v>
      </c>
      <c r="C63" s="21">
        <v>42.7</v>
      </c>
      <c r="D63" s="22">
        <v>35.299999999999997</v>
      </c>
      <c r="E63" s="7">
        <v>26</v>
      </c>
      <c r="F63" s="11">
        <f t="shared" si="16"/>
        <v>7.4000000000000057</v>
      </c>
      <c r="G63" s="23">
        <f t="shared" si="17"/>
        <v>9.2999999999999972</v>
      </c>
      <c r="H63" s="24">
        <f t="shared" si="13"/>
        <v>44.311377245509007</v>
      </c>
      <c r="I63" s="25">
        <v>3029</v>
      </c>
      <c r="J63" s="26">
        <f t="shared" si="6"/>
        <v>7.4000000000000057</v>
      </c>
      <c r="K63" s="21">
        <f t="shared" si="7"/>
        <v>34.294338000000025</v>
      </c>
      <c r="L63" s="27">
        <v>1.75</v>
      </c>
      <c r="M63" s="28">
        <v>5</v>
      </c>
      <c r="N63" s="29">
        <f t="shared" si="4"/>
        <v>5.8588676000000053</v>
      </c>
      <c r="O63" s="30">
        <f t="shared" si="5"/>
        <v>41.903205600000028</v>
      </c>
    </row>
    <row r="64" spans="1:15" x14ac:dyDescent="0.3">
      <c r="A64" s="31"/>
      <c r="B64" s="20">
        <v>2.0833333333333332E-2</v>
      </c>
      <c r="C64" s="21">
        <v>41.7</v>
      </c>
      <c r="D64" s="22">
        <v>34.700000000000003</v>
      </c>
      <c r="E64" s="7">
        <v>26</v>
      </c>
      <c r="F64" s="11">
        <f t="shared" si="16"/>
        <v>7</v>
      </c>
      <c r="G64" s="23">
        <f t="shared" si="17"/>
        <v>8.7000000000000028</v>
      </c>
      <c r="H64" s="24">
        <f t="shared" si="13"/>
        <v>44.585987261146485</v>
      </c>
      <c r="I64" s="25">
        <v>3121</v>
      </c>
      <c r="J64" s="26">
        <f t="shared" si="6"/>
        <v>7</v>
      </c>
      <c r="K64" s="21">
        <f t="shared" si="7"/>
        <v>33.425910000000002</v>
      </c>
      <c r="L64" s="27">
        <v>1.75</v>
      </c>
      <c r="M64" s="28">
        <v>5</v>
      </c>
      <c r="N64" s="29">
        <f t="shared" si="4"/>
        <v>5.6851820000000002</v>
      </c>
      <c r="O64" s="30">
        <f t="shared" si="5"/>
        <v>40.861091999999999</v>
      </c>
    </row>
    <row r="65" spans="1:15" x14ac:dyDescent="0.3">
      <c r="A65" s="31"/>
      <c r="B65" s="20">
        <v>0.10416666666666667</v>
      </c>
      <c r="C65" s="21">
        <v>41.9</v>
      </c>
      <c r="D65" s="22">
        <v>34.799999999999997</v>
      </c>
      <c r="E65" s="7">
        <v>26</v>
      </c>
      <c r="F65" s="11">
        <f t="shared" si="16"/>
        <v>7.1000000000000014</v>
      </c>
      <c r="G65" s="23">
        <f t="shared" si="17"/>
        <v>8.7999999999999972</v>
      </c>
      <c r="H65" s="24">
        <f t="shared" si="13"/>
        <v>44.654088050314478</v>
      </c>
      <c r="I65" s="25">
        <v>3175</v>
      </c>
      <c r="J65" s="26">
        <f t="shared" si="6"/>
        <v>7.1000000000000014</v>
      </c>
      <c r="K65" s="21">
        <f t="shared" si="7"/>
        <v>34.490025000000003</v>
      </c>
      <c r="L65" s="27">
        <v>1.75</v>
      </c>
      <c r="M65" s="28">
        <v>5</v>
      </c>
      <c r="N65" s="29">
        <f t="shared" si="4"/>
        <v>5.8980050000000004</v>
      </c>
      <c r="O65" s="30">
        <f t="shared" si="5"/>
        <v>42.138030000000001</v>
      </c>
    </row>
    <row r="66" spans="1:15" x14ac:dyDescent="0.3">
      <c r="A66" s="31"/>
      <c r="B66" s="20">
        <v>0.1875</v>
      </c>
      <c r="C66" s="21">
        <v>41.7</v>
      </c>
      <c r="D66" s="33">
        <v>34.4</v>
      </c>
      <c r="E66" s="7">
        <v>26</v>
      </c>
      <c r="F66" s="11">
        <f t="shared" si="16"/>
        <v>7.3000000000000043</v>
      </c>
      <c r="G66" s="23">
        <f t="shared" si="17"/>
        <v>8.3999999999999986</v>
      </c>
      <c r="H66" s="24">
        <f t="shared" si="13"/>
        <v>46.496815286624219</v>
      </c>
      <c r="I66" s="25">
        <v>3064</v>
      </c>
      <c r="J66" s="26">
        <f t="shared" si="6"/>
        <v>7.3000000000000043</v>
      </c>
      <c r="K66" s="21">
        <f t="shared" si="7"/>
        <v>34.221816000000018</v>
      </c>
      <c r="L66" s="27">
        <v>1.75</v>
      </c>
      <c r="M66" s="28">
        <v>5</v>
      </c>
      <c r="N66" s="29">
        <f t="shared" si="4"/>
        <v>5.8443632000000036</v>
      </c>
      <c r="O66" s="30">
        <f t="shared" si="5"/>
        <v>41.816179200000022</v>
      </c>
    </row>
    <row r="67" spans="1:15" s="3" customFormat="1" x14ac:dyDescent="0.3">
      <c r="A67" s="34"/>
      <c r="B67" s="34"/>
      <c r="C67" s="34"/>
      <c r="D67" s="34"/>
      <c r="E67" s="34"/>
      <c r="F67" s="34"/>
      <c r="G67" s="34" t="s">
        <v>8</v>
      </c>
      <c r="H67" s="34">
        <f>AVERAGE(H55:H66)</f>
        <v>44.663895000438544</v>
      </c>
      <c r="I67" s="34"/>
      <c r="J67" s="34"/>
      <c r="K67" s="34">
        <f>AVERAGE(K55:K66)</f>
        <v>34.407609000000001</v>
      </c>
      <c r="L67" s="34"/>
      <c r="M67" s="34"/>
      <c r="N67" s="34">
        <f>AVERAGE(N55:N66)</f>
        <v>5.8815217999999989</v>
      </c>
      <c r="O67" s="34">
        <f>AVERAGE(O55:O66)</f>
        <v>42.039130799999995</v>
      </c>
    </row>
    <row r="68" spans="1:15" x14ac:dyDescent="0.3">
      <c r="A68" s="19">
        <v>44536</v>
      </c>
      <c r="B68" s="20">
        <v>0.27083333333333331</v>
      </c>
      <c r="C68" s="21">
        <v>42</v>
      </c>
      <c r="D68" s="22">
        <v>34.700000000000003</v>
      </c>
      <c r="E68" s="7">
        <v>26</v>
      </c>
      <c r="F68" s="11">
        <f>C68-D68</f>
        <v>7.2999999999999972</v>
      </c>
      <c r="G68" s="23">
        <f>D68-E68</f>
        <v>8.7000000000000028</v>
      </c>
      <c r="H68" s="24">
        <f t="shared" si="13"/>
        <v>45.624999999999986</v>
      </c>
      <c r="I68" s="25">
        <v>3092</v>
      </c>
      <c r="J68" s="26">
        <f t="shared" ref="J68:J131" si="18">C68-D68</f>
        <v>7.2999999999999972</v>
      </c>
      <c r="K68" s="21">
        <f t="shared" ref="K68:K131" si="19">0.00085*1.8*I68*J68</f>
        <v>34.534547999999987</v>
      </c>
      <c r="L68" s="27">
        <v>1.75</v>
      </c>
      <c r="M68" s="28">
        <v>5</v>
      </c>
      <c r="N68" s="29">
        <f t="shared" ref="N68:N131" si="20">K68/M68-1</f>
        <v>5.906909599999997</v>
      </c>
      <c r="O68" s="30">
        <f t="shared" ref="O68:O131" si="21">K68+L68+N68</f>
        <v>42.191457599999985</v>
      </c>
    </row>
    <row r="69" spans="1:15" x14ac:dyDescent="0.3">
      <c r="A69" s="31"/>
      <c r="B69" s="20">
        <v>0.35416666666666669</v>
      </c>
      <c r="C69" s="21">
        <v>42</v>
      </c>
      <c r="D69" s="22">
        <v>34.9</v>
      </c>
      <c r="E69" s="7">
        <v>26</v>
      </c>
      <c r="F69" s="11">
        <f t="shared" ref="F69:F79" si="22">C69-D69</f>
        <v>7.1000000000000014</v>
      </c>
      <c r="G69" s="23">
        <f t="shared" ref="G69:G79" si="23">D69-E69</f>
        <v>8.8999999999999986</v>
      </c>
      <c r="H69" s="24">
        <f t="shared" si="13"/>
        <v>44.375000000000007</v>
      </c>
      <c r="I69" s="25">
        <v>3076</v>
      </c>
      <c r="J69" s="26">
        <f t="shared" si="18"/>
        <v>7.1000000000000014</v>
      </c>
      <c r="K69" s="21">
        <f t="shared" si="19"/>
        <v>33.414588000000002</v>
      </c>
      <c r="L69" s="27">
        <v>1.75</v>
      </c>
      <c r="M69" s="28">
        <v>5</v>
      </c>
      <c r="N69" s="29">
        <f t="shared" si="20"/>
        <v>5.6829176000000006</v>
      </c>
      <c r="O69" s="30">
        <f t="shared" si="21"/>
        <v>40.847505600000005</v>
      </c>
    </row>
    <row r="70" spans="1:15" x14ac:dyDescent="0.3">
      <c r="A70" s="31"/>
      <c r="B70" s="20">
        <v>0.4375</v>
      </c>
      <c r="C70" s="21">
        <v>41.7</v>
      </c>
      <c r="D70" s="22">
        <v>34.9</v>
      </c>
      <c r="E70" s="7">
        <v>26</v>
      </c>
      <c r="F70" s="11">
        <f t="shared" si="22"/>
        <v>6.8000000000000043</v>
      </c>
      <c r="G70" s="23">
        <f t="shared" si="23"/>
        <v>8.8999999999999986</v>
      </c>
      <c r="H70" s="24">
        <f t="shared" si="13"/>
        <v>43.312101910828041</v>
      </c>
      <c r="I70" s="25">
        <v>3134</v>
      </c>
      <c r="J70" s="26">
        <f t="shared" si="18"/>
        <v>6.8000000000000043</v>
      </c>
      <c r="K70" s="21">
        <f t="shared" si="19"/>
        <v>32.606136000000021</v>
      </c>
      <c r="L70" s="27">
        <v>1.75</v>
      </c>
      <c r="M70" s="28">
        <v>5</v>
      </c>
      <c r="N70" s="29">
        <f t="shared" si="20"/>
        <v>5.5212272000000038</v>
      </c>
      <c r="O70" s="30">
        <f t="shared" si="21"/>
        <v>39.877363200000026</v>
      </c>
    </row>
    <row r="71" spans="1:15" x14ac:dyDescent="0.3">
      <c r="A71" s="31"/>
      <c r="B71" s="20">
        <v>0.52083333333333337</v>
      </c>
      <c r="C71" s="21">
        <v>42.2</v>
      </c>
      <c r="D71" s="22">
        <v>35.4</v>
      </c>
      <c r="E71" s="7">
        <v>26</v>
      </c>
      <c r="F71" s="11">
        <f t="shared" si="22"/>
        <v>6.8000000000000043</v>
      </c>
      <c r="G71" s="23">
        <f t="shared" si="23"/>
        <v>9.3999999999999986</v>
      </c>
      <c r="H71" s="24">
        <f t="shared" si="13"/>
        <v>41.975308641975332</v>
      </c>
      <c r="I71" s="25">
        <v>3132</v>
      </c>
      <c r="J71" s="26">
        <f t="shared" si="18"/>
        <v>6.8000000000000043</v>
      </c>
      <c r="K71" s="21">
        <f t="shared" si="19"/>
        <v>32.585328000000018</v>
      </c>
      <c r="L71" s="27">
        <v>1.75</v>
      </c>
      <c r="M71" s="28">
        <v>5</v>
      </c>
      <c r="N71" s="29">
        <f t="shared" si="20"/>
        <v>5.517065600000004</v>
      </c>
      <c r="O71" s="30">
        <f t="shared" si="21"/>
        <v>39.852393600000021</v>
      </c>
    </row>
    <row r="72" spans="1:15" x14ac:dyDescent="0.3">
      <c r="A72" s="31"/>
      <c r="B72" s="20">
        <v>0.60416666666666663</v>
      </c>
      <c r="C72" s="21">
        <v>42</v>
      </c>
      <c r="D72" s="22">
        <v>35</v>
      </c>
      <c r="E72" s="7">
        <v>26</v>
      </c>
      <c r="F72" s="11">
        <f t="shared" si="22"/>
        <v>7</v>
      </c>
      <c r="G72" s="23">
        <f t="shared" si="23"/>
        <v>9</v>
      </c>
      <c r="H72" s="24">
        <f t="shared" si="13"/>
        <v>43.75</v>
      </c>
      <c r="I72" s="25">
        <v>3061</v>
      </c>
      <c r="J72" s="26">
        <f t="shared" si="18"/>
        <v>7</v>
      </c>
      <c r="K72" s="21">
        <f t="shared" si="19"/>
        <v>32.78331</v>
      </c>
      <c r="L72" s="27">
        <v>1.75</v>
      </c>
      <c r="M72" s="28">
        <v>5</v>
      </c>
      <c r="N72" s="29">
        <f t="shared" si="20"/>
        <v>5.5566620000000002</v>
      </c>
      <c r="O72" s="30">
        <f t="shared" si="21"/>
        <v>40.089972000000003</v>
      </c>
    </row>
    <row r="73" spans="1:15" x14ac:dyDescent="0.3">
      <c r="A73" s="31"/>
      <c r="B73" s="20">
        <v>0.6875</v>
      </c>
      <c r="C73" s="21">
        <v>42.1</v>
      </c>
      <c r="D73" s="22">
        <v>35.6</v>
      </c>
      <c r="E73" s="7">
        <v>26</v>
      </c>
      <c r="F73" s="11">
        <f t="shared" si="22"/>
        <v>6.5</v>
      </c>
      <c r="G73" s="23">
        <f t="shared" si="23"/>
        <v>9.6000000000000014</v>
      </c>
      <c r="H73" s="24">
        <f t="shared" si="13"/>
        <v>40.372670807453417</v>
      </c>
      <c r="I73" s="25">
        <v>3081</v>
      </c>
      <c r="J73" s="26">
        <f t="shared" si="18"/>
        <v>6.5</v>
      </c>
      <c r="K73" s="21">
        <f t="shared" si="19"/>
        <v>30.640544999999996</v>
      </c>
      <c r="L73" s="27">
        <v>1.75</v>
      </c>
      <c r="M73" s="28">
        <v>5</v>
      </c>
      <c r="N73" s="29">
        <f t="shared" si="20"/>
        <v>5.1281089999999994</v>
      </c>
      <c r="O73" s="30">
        <f t="shared" si="21"/>
        <v>37.518653999999998</v>
      </c>
    </row>
    <row r="74" spans="1:15" x14ac:dyDescent="0.3">
      <c r="A74" s="31"/>
      <c r="B74" s="20">
        <v>0.77083333333333337</v>
      </c>
      <c r="C74" s="21">
        <v>42.1</v>
      </c>
      <c r="D74" s="22">
        <v>35.299999999999997</v>
      </c>
      <c r="E74" s="7">
        <v>26</v>
      </c>
      <c r="F74" s="11">
        <f t="shared" si="22"/>
        <v>6.8000000000000043</v>
      </c>
      <c r="G74" s="23">
        <f t="shared" si="23"/>
        <v>9.2999999999999972</v>
      </c>
      <c r="H74" s="24">
        <f t="shared" si="13"/>
        <v>42.236024844720518</v>
      </c>
      <c r="I74" s="25">
        <v>3121</v>
      </c>
      <c r="J74" s="26">
        <f t="shared" si="18"/>
        <v>6.8000000000000043</v>
      </c>
      <c r="K74" s="21">
        <f t="shared" si="19"/>
        <v>32.470884000000019</v>
      </c>
      <c r="L74" s="27">
        <v>1.75</v>
      </c>
      <c r="M74" s="28">
        <v>5</v>
      </c>
      <c r="N74" s="29">
        <f t="shared" si="20"/>
        <v>5.4941768000000035</v>
      </c>
      <c r="O74" s="30">
        <f t="shared" si="21"/>
        <v>39.715060800000025</v>
      </c>
    </row>
    <row r="75" spans="1:15" x14ac:dyDescent="0.3">
      <c r="A75" s="31"/>
      <c r="B75" s="20">
        <v>0.85416666666666663</v>
      </c>
      <c r="C75" s="32">
        <v>42.1</v>
      </c>
      <c r="D75" s="22">
        <v>35.1</v>
      </c>
      <c r="E75" s="7">
        <v>26</v>
      </c>
      <c r="F75" s="11">
        <f t="shared" si="22"/>
        <v>7</v>
      </c>
      <c r="G75" s="23">
        <f t="shared" si="23"/>
        <v>9.1000000000000014</v>
      </c>
      <c r="H75" s="24">
        <f t="shared" si="13"/>
        <v>43.478260869565219</v>
      </c>
      <c r="I75" s="25">
        <v>3121</v>
      </c>
      <c r="J75" s="26">
        <f t="shared" si="18"/>
        <v>7</v>
      </c>
      <c r="K75" s="21">
        <f t="shared" si="19"/>
        <v>33.425910000000002</v>
      </c>
      <c r="L75" s="27">
        <v>1.75</v>
      </c>
      <c r="M75" s="28">
        <v>5</v>
      </c>
      <c r="N75" s="29">
        <f t="shared" si="20"/>
        <v>5.6851820000000002</v>
      </c>
      <c r="O75" s="30">
        <f t="shared" si="21"/>
        <v>40.861091999999999</v>
      </c>
    </row>
    <row r="76" spans="1:15" x14ac:dyDescent="0.3">
      <c r="A76" s="31"/>
      <c r="B76" s="20">
        <v>0.9375</v>
      </c>
      <c r="C76" s="21">
        <v>41.7</v>
      </c>
      <c r="D76" s="22">
        <v>34.799999999999997</v>
      </c>
      <c r="E76" s="7">
        <v>26</v>
      </c>
      <c r="F76" s="11">
        <f t="shared" si="22"/>
        <v>6.9000000000000057</v>
      </c>
      <c r="G76" s="23">
        <f t="shared" si="23"/>
        <v>8.7999999999999972</v>
      </c>
      <c r="H76" s="24">
        <f t="shared" si="13"/>
        <v>43.949044585987288</v>
      </c>
      <c r="I76" s="25">
        <v>3109</v>
      </c>
      <c r="J76" s="26">
        <f t="shared" si="18"/>
        <v>6.9000000000000057</v>
      </c>
      <c r="K76" s="21">
        <f t="shared" si="19"/>
        <v>32.821713000000024</v>
      </c>
      <c r="L76" s="27">
        <v>1.75</v>
      </c>
      <c r="M76" s="28">
        <v>5</v>
      </c>
      <c r="N76" s="29">
        <f t="shared" si="20"/>
        <v>5.5643426000000051</v>
      </c>
      <c r="O76" s="30">
        <f t="shared" si="21"/>
        <v>40.136055600000027</v>
      </c>
    </row>
    <row r="77" spans="1:15" x14ac:dyDescent="0.3">
      <c r="A77" s="31"/>
      <c r="B77" s="20">
        <v>2.0833333333333332E-2</v>
      </c>
      <c r="C77" s="21">
        <v>41.5</v>
      </c>
      <c r="D77" s="22">
        <v>34.6</v>
      </c>
      <c r="E77" s="7">
        <v>26</v>
      </c>
      <c r="F77" s="11">
        <f t="shared" si="22"/>
        <v>6.8999999999999986</v>
      </c>
      <c r="G77" s="23">
        <f t="shared" si="23"/>
        <v>8.6000000000000014</v>
      </c>
      <c r="H77" s="24">
        <f t="shared" si="13"/>
        <v>44.516129032258057</v>
      </c>
      <c r="I77" s="25">
        <v>3121</v>
      </c>
      <c r="J77" s="26">
        <f t="shared" si="18"/>
        <v>6.8999999999999986</v>
      </c>
      <c r="K77" s="21">
        <f t="shared" si="19"/>
        <v>32.948396999999993</v>
      </c>
      <c r="L77" s="27">
        <v>1.75</v>
      </c>
      <c r="M77" s="28">
        <v>5</v>
      </c>
      <c r="N77" s="29">
        <f t="shared" si="20"/>
        <v>5.5896793999999987</v>
      </c>
      <c r="O77" s="30">
        <f t="shared" si="21"/>
        <v>40.288076399999994</v>
      </c>
    </row>
    <row r="78" spans="1:15" x14ac:dyDescent="0.3">
      <c r="A78" s="31"/>
      <c r="B78" s="20">
        <v>0.10416666666666667</v>
      </c>
      <c r="C78" s="21">
        <v>41.4</v>
      </c>
      <c r="D78" s="22">
        <v>34.299999999999997</v>
      </c>
      <c r="E78" s="7">
        <v>26</v>
      </c>
      <c r="F78" s="11">
        <f t="shared" si="22"/>
        <v>7.1000000000000014</v>
      </c>
      <c r="G78" s="23">
        <f t="shared" si="23"/>
        <v>8.2999999999999972</v>
      </c>
      <c r="H78" s="24">
        <f t="shared" si="13"/>
        <v>46.103896103896119</v>
      </c>
      <c r="I78" s="25">
        <v>3119</v>
      </c>
      <c r="J78" s="26">
        <f t="shared" si="18"/>
        <v>7.1000000000000014</v>
      </c>
      <c r="K78" s="21">
        <f t="shared" si="19"/>
        <v>33.881697000000003</v>
      </c>
      <c r="L78" s="27">
        <v>1.75</v>
      </c>
      <c r="M78" s="28">
        <v>5</v>
      </c>
      <c r="N78" s="29">
        <f t="shared" si="20"/>
        <v>5.7763394000000003</v>
      </c>
      <c r="O78" s="30">
        <f t="shared" si="21"/>
        <v>41.4080364</v>
      </c>
    </row>
    <row r="79" spans="1:15" x14ac:dyDescent="0.3">
      <c r="A79" s="31"/>
      <c r="B79" s="20">
        <v>0.1875</v>
      </c>
      <c r="C79" s="21">
        <v>41.1</v>
      </c>
      <c r="D79" s="33">
        <v>34.299999999999997</v>
      </c>
      <c r="E79" s="7">
        <v>26</v>
      </c>
      <c r="F79" s="11">
        <f t="shared" si="22"/>
        <v>6.8000000000000043</v>
      </c>
      <c r="G79" s="23">
        <f t="shared" si="23"/>
        <v>8.2999999999999972</v>
      </c>
      <c r="H79" s="24">
        <f t="shared" si="13"/>
        <v>45.033112582781484</v>
      </c>
      <c r="I79" s="25">
        <v>3021</v>
      </c>
      <c r="J79" s="26">
        <f t="shared" si="18"/>
        <v>6.8000000000000043</v>
      </c>
      <c r="K79" s="21">
        <f t="shared" si="19"/>
        <v>31.430484000000014</v>
      </c>
      <c r="L79" s="27">
        <v>1.75</v>
      </c>
      <c r="M79" s="28">
        <v>5</v>
      </c>
      <c r="N79" s="29">
        <f t="shared" si="20"/>
        <v>5.2860968000000028</v>
      </c>
      <c r="O79" s="30">
        <f t="shared" si="21"/>
        <v>38.466580800000017</v>
      </c>
    </row>
    <row r="80" spans="1:15" s="3" customFormat="1" x14ac:dyDescent="0.3">
      <c r="A80" s="34"/>
      <c r="B80" s="34"/>
      <c r="C80" s="34"/>
      <c r="D80" s="34"/>
      <c r="E80" s="34"/>
      <c r="F80" s="34"/>
      <c r="G80" s="34" t="s">
        <v>8</v>
      </c>
      <c r="H80" s="34">
        <f>AVERAGE(H68:H79)</f>
        <v>43.727212448288789</v>
      </c>
      <c r="I80" s="34"/>
      <c r="J80" s="34"/>
      <c r="K80" s="34">
        <f>AVERAGE(K68:K79)</f>
        <v>32.795295000000003</v>
      </c>
      <c r="L80" s="34"/>
      <c r="M80" s="34"/>
      <c r="N80" s="34">
        <f>AVERAGE(N68:N79)</f>
        <v>5.5590590000000004</v>
      </c>
      <c r="O80" s="34">
        <f>AVERAGE(O68:O79)</f>
        <v>40.104354000000008</v>
      </c>
    </row>
    <row r="81" spans="1:15" x14ac:dyDescent="0.3">
      <c r="A81" s="19">
        <v>44537</v>
      </c>
      <c r="B81" s="20">
        <v>0.27083333333333331</v>
      </c>
      <c r="C81" s="21">
        <v>41</v>
      </c>
      <c r="D81" s="22">
        <v>34.1</v>
      </c>
      <c r="E81" s="7">
        <v>26</v>
      </c>
      <c r="F81" s="11">
        <f>C81-D81</f>
        <v>6.8999999999999986</v>
      </c>
      <c r="G81" s="23">
        <f>D81-E81</f>
        <v>8.1000000000000014</v>
      </c>
      <c r="H81" s="24">
        <f t="shared" si="13"/>
        <v>45.999999999999993</v>
      </c>
      <c r="I81" s="25">
        <v>3156</v>
      </c>
      <c r="J81" s="26">
        <f t="shared" si="18"/>
        <v>6.8999999999999986</v>
      </c>
      <c r="K81" s="21">
        <f t="shared" si="19"/>
        <v>33.317891999999986</v>
      </c>
      <c r="L81" s="27">
        <v>1.75</v>
      </c>
      <c r="M81" s="28">
        <v>5</v>
      </c>
      <c r="N81" s="29">
        <f t="shared" si="20"/>
        <v>5.6635783999999969</v>
      </c>
      <c r="O81" s="30">
        <f t="shared" si="21"/>
        <v>40.731470399999985</v>
      </c>
    </row>
    <row r="82" spans="1:15" x14ac:dyDescent="0.3">
      <c r="A82" s="19"/>
      <c r="B82" s="20">
        <v>0.35416666666666669</v>
      </c>
      <c r="C82" s="21">
        <v>41</v>
      </c>
      <c r="D82" s="22">
        <v>34.1</v>
      </c>
      <c r="E82" s="7">
        <v>26</v>
      </c>
      <c r="F82" s="11">
        <f t="shared" ref="F82:F92" si="24">C82-D82</f>
        <v>6.8999999999999986</v>
      </c>
      <c r="G82" s="23">
        <f t="shared" ref="G82:G92" si="25">D82-E82</f>
        <v>8.1000000000000014</v>
      </c>
      <c r="H82" s="24">
        <f t="shared" si="13"/>
        <v>45.999999999999993</v>
      </c>
      <c r="I82" s="25">
        <v>3060</v>
      </c>
      <c r="J82" s="26">
        <f t="shared" si="18"/>
        <v>6.8999999999999986</v>
      </c>
      <c r="K82" s="21">
        <f t="shared" si="19"/>
        <v>32.304419999999993</v>
      </c>
      <c r="L82" s="27">
        <v>1.75</v>
      </c>
      <c r="M82" s="28">
        <v>5</v>
      </c>
      <c r="N82" s="29">
        <f t="shared" si="20"/>
        <v>5.4608839999999983</v>
      </c>
      <c r="O82" s="30">
        <f t="shared" si="21"/>
        <v>39.515303999999993</v>
      </c>
    </row>
    <row r="83" spans="1:15" x14ac:dyDescent="0.3">
      <c r="A83" s="19"/>
      <c r="B83" s="20">
        <v>0.4375</v>
      </c>
      <c r="C83" s="21">
        <v>42.7</v>
      </c>
      <c r="D83" s="22">
        <v>35.200000000000003</v>
      </c>
      <c r="E83" s="7">
        <v>26</v>
      </c>
      <c r="F83" s="11">
        <f t="shared" si="24"/>
        <v>7.5</v>
      </c>
      <c r="G83" s="23">
        <f t="shared" si="25"/>
        <v>9.2000000000000028</v>
      </c>
      <c r="H83" s="24">
        <f t="shared" si="13"/>
        <v>44.910179640718553</v>
      </c>
      <c r="I83" s="25">
        <v>3076</v>
      </c>
      <c r="J83" s="26">
        <f t="shared" si="18"/>
        <v>7.5</v>
      </c>
      <c r="K83" s="21">
        <f t="shared" si="19"/>
        <v>35.2971</v>
      </c>
      <c r="L83" s="27">
        <v>1.75</v>
      </c>
      <c r="M83" s="28">
        <v>5</v>
      </c>
      <c r="N83" s="29">
        <f t="shared" si="20"/>
        <v>6.0594200000000003</v>
      </c>
      <c r="O83" s="30">
        <f t="shared" si="21"/>
        <v>43.106520000000003</v>
      </c>
    </row>
    <row r="84" spans="1:15" x14ac:dyDescent="0.3">
      <c r="A84" s="19"/>
      <c r="B84" s="20">
        <v>0.52083333333333337</v>
      </c>
      <c r="C84" s="21">
        <v>43.4</v>
      </c>
      <c r="D84" s="22">
        <v>36</v>
      </c>
      <c r="E84" s="7">
        <v>26</v>
      </c>
      <c r="F84" s="11">
        <f t="shared" si="24"/>
        <v>7.3999999999999986</v>
      </c>
      <c r="G84" s="23">
        <f t="shared" si="25"/>
        <v>10</v>
      </c>
      <c r="H84" s="24">
        <f t="shared" si="13"/>
        <v>42.528735632183903</v>
      </c>
      <c r="I84" s="25">
        <v>3019</v>
      </c>
      <c r="J84" s="26">
        <f t="shared" si="18"/>
        <v>7.3999999999999986</v>
      </c>
      <c r="K84" s="21">
        <f t="shared" si="19"/>
        <v>34.181117999999991</v>
      </c>
      <c r="L84" s="27">
        <v>1.75</v>
      </c>
      <c r="M84" s="28">
        <v>5</v>
      </c>
      <c r="N84" s="29">
        <f t="shared" si="20"/>
        <v>5.8362235999999985</v>
      </c>
      <c r="O84" s="30">
        <f t="shared" si="21"/>
        <v>41.767341599999988</v>
      </c>
    </row>
    <row r="85" spans="1:15" x14ac:dyDescent="0.3">
      <c r="A85" s="19"/>
      <c r="B85" s="20">
        <v>0.60416666666666663</v>
      </c>
      <c r="C85" s="21">
        <v>43.4</v>
      </c>
      <c r="D85" s="22">
        <v>38.9</v>
      </c>
      <c r="E85" s="7">
        <v>26</v>
      </c>
      <c r="F85" s="11">
        <f t="shared" si="24"/>
        <v>4.5</v>
      </c>
      <c r="G85" s="23">
        <f t="shared" si="25"/>
        <v>12.899999999999999</v>
      </c>
      <c r="H85" s="24">
        <f t="shared" si="13"/>
        <v>25.862068965517242</v>
      </c>
      <c r="I85" s="25">
        <v>3085</v>
      </c>
      <c r="J85" s="26">
        <f t="shared" si="18"/>
        <v>4.5</v>
      </c>
      <c r="K85" s="21">
        <f t="shared" si="19"/>
        <v>21.240224999999999</v>
      </c>
      <c r="L85" s="27">
        <v>1.75</v>
      </c>
      <c r="M85" s="28">
        <v>5</v>
      </c>
      <c r="N85" s="29">
        <f t="shared" si="20"/>
        <v>3.2480449999999994</v>
      </c>
      <c r="O85" s="30">
        <f t="shared" si="21"/>
        <v>26.23827</v>
      </c>
    </row>
    <row r="86" spans="1:15" x14ac:dyDescent="0.3">
      <c r="A86" s="19"/>
      <c r="B86" s="20">
        <v>0.6875</v>
      </c>
      <c r="C86" s="21">
        <v>43.3</v>
      </c>
      <c r="D86" s="22">
        <v>35.6</v>
      </c>
      <c r="E86" s="7">
        <v>26</v>
      </c>
      <c r="F86" s="11">
        <f t="shared" si="24"/>
        <v>7.6999999999999957</v>
      </c>
      <c r="G86" s="23">
        <f t="shared" si="25"/>
        <v>9.6000000000000014</v>
      </c>
      <c r="H86" s="24">
        <f t="shared" si="13"/>
        <v>44.508670520231199</v>
      </c>
      <c r="I86" s="25">
        <v>3032</v>
      </c>
      <c r="J86" s="26">
        <f t="shared" si="18"/>
        <v>7.6999999999999957</v>
      </c>
      <c r="K86" s="21">
        <f t="shared" si="19"/>
        <v>35.719991999999984</v>
      </c>
      <c r="L86" s="27">
        <v>1.75</v>
      </c>
      <c r="M86" s="28">
        <v>5</v>
      </c>
      <c r="N86" s="29">
        <f t="shared" si="20"/>
        <v>6.1439983999999965</v>
      </c>
      <c r="O86" s="30">
        <f t="shared" si="21"/>
        <v>43.613990399999977</v>
      </c>
    </row>
    <row r="87" spans="1:15" x14ac:dyDescent="0.3">
      <c r="A87" s="19"/>
      <c r="B87" s="20">
        <v>0.77083333333333337</v>
      </c>
      <c r="C87" s="21">
        <v>43.5</v>
      </c>
      <c r="D87" s="22">
        <v>35.700000000000003</v>
      </c>
      <c r="E87" s="7">
        <v>26</v>
      </c>
      <c r="F87" s="11">
        <f t="shared" si="24"/>
        <v>7.7999999999999972</v>
      </c>
      <c r="G87" s="23">
        <f t="shared" si="25"/>
        <v>9.7000000000000028</v>
      </c>
      <c r="H87" s="24">
        <f t="shared" si="13"/>
        <v>44.571428571428555</v>
      </c>
      <c r="I87" s="25">
        <v>3068</v>
      </c>
      <c r="J87" s="26">
        <f t="shared" si="18"/>
        <v>7.7999999999999972</v>
      </c>
      <c r="K87" s="21">
        <f t="shared" si="19"/>
        <v>36.613511999999979</v>
      </c>
      <c r="L87" s="27">
        <v>1.75</v>
      </c>
      <c r="M87" s="28">
        <v>5</v>
      </c>
      <c r="N87" s="29">
        <f t="shared" si="20"/>
        <v>6.3227023999999954</v>
      </c>
      <c r="O87" s="30">
        <f t="shared" si="21"/>
        <v>44.686214399999976</v>
      </c>
    </row>
    <row r="88" spans="1:15" x14ac:dyDescent="0.3">
      <c r="A88" s="19"/>
      <c r="B88" s="20">
        <v>0.85416666666666663</v>
      </c>
      <c r="C88" s="32">
        <v>43.2</v>
      </c>
      <c r="D88" s="22">
        <v>35.5</v>
      </c>
      <c r="E88" s="7">
        <v>26</v>
      </c>
      <c r="F88" s="11">
        <f t="shared" si="24"/>
        <v>7.7000000000000028</v>
      </c>
      <c r="G88" s="23">
        <f t="shared" si="25"/>
        <v>9.5</v>
      </c>
      <c r="H88" s="24">
        <f t="shared" si="13"/>
        <v>44.767441860465127</v>
      </c>
      <c r="I88" s="25">
        <v>3045</v>
      </c>
      <c r="J88" s="26">
        <f t="shared" si="18"/>
        <v>7.7000000000000028</v>
      </c>
      <c r="K88" s="21">
        <f t="shared" si="19"/>
        <v>35.873145000000008</v>
      </c>
      <c r="L88" s="27">
        <v>1.75</v>
      </c>
      <c r="M88" s="28">
        <v>5</v>
      </c>
      <c r="N88" s="29">
        <f t="shared" si="20"/>
        <v>6.1746290000000013</v>
      </c>
      <c r="O88" s="30">
        <f t="shared" si="21"/>
        <v>43.797774000000011</v>
      </c>
    </row>
    <row r="89" spans="1:15" x14ac:dyDescent="0.3">
      <c r="A89" s="19"/>
      <c r="B89" s="20">
        <v>0.9375</v>
      </c>
      <c r="C89" s="21">
        <v>43.2</v>
      </c>
      <c r="D89" s="22">
        <v>35.6</v>
      </c>
      <c r="E89" s="7">
        <v>26</v>
      </c>
      <c r="F89" s="11">
        <f t="shared" si="24"/>
        <v>7.6000000000000014</v>
      </c>
      <c r="G89" s="23">
        <f t="shared" si="25"/>
        <v>9.6000000000000014</v>
      </c>
      <c r="H89" s="24">
        <f t="shared" si="13"/>
        <v>44.186046511627907</v>
      </c>
      <c r="I89" s="25">
        <v>2978</v>
      </c>
      <c r="J89" s="26">
        <f t="shared" si="18"/>
        <v>7.6000000000000014</v>
      </c>
      <c r="K89" s="21">
        <f t="shared" si="19"/>
        <v>34.628184000000005</v>
      </c>
      <c r="L89" s="27">
        <v>1.75</v>
      </c>
      <c r="M89" s="28">
        <v>5</v>
      </c>
      <c r="N89" s="29">
        <f t="shared" si="20"/>
        <v>5.9256368000000013</v>
      </c>
      <c r="O89" s="30">
        <f t="shared" si="21"/>
        <v>42.303820800000004</v>
      </c>
    </row>
    <row r="90" spans="1:15" x14ac:dyDescent="0.3">
      <c r="A90" s="19"/>
      <c r="B90" s="20">
        <v>2.0833333333333332E-2</v>
      </c>
      <c r="C90" s="21">
        <v>41.9</v>
      </c>
      <c r="D90" s="22">
        <v>35</v>
      </c>
      <c r="E90" s="7">
        <v>26</v>
      </c>
      <c r="F90" s="11">
        <f t="shared" si="24"/>
        <v>6.8999999999999986</v>
      </c>
      <c r="G90" s="23">
        <f t="shared" si="25"/>
        <v>9</v>
      </c>
      <c r="H90" s="24">
        <f t="shared" si="13"/>
        <v>43.396226415094333</v>
      </c>
      <c r="I90" s="25">
        <v>3083</v>
      </c>
      <c r="J90" s="26">
        <f t="shared" si="18"/>
        <v>6.8999999999999986</v>
      </c>
      <c r="K90" s="21">
        <f t="shared" si="19"/>
        <v>32.547230999999996</v>
      </c>
      <c r="L90" s="27">
        <v>1.75</v>
      </c>
      <c r="M90" s="28">
        <v>5</v>
      </c>
      <c r="N90" s="29">
        <f t="shared" si="20"/>
        <v>5.5094461999999993</v>
      </c>
      <c r="O90" s="30">
        <f t="shared" si="21"/>
        <v>39.806677199999996</v>
      </c>
    </row>
    <row r="91" spans="1:15" x14ac:dyDescent="0.3">
      <c r="A91" s="19"/>
      <c r="B91" s="20">
        <v>0.10416666666666667</v>
      </c>
      <c r="C91" s="21">
        <v>41.4</v>
      </c>
      <c r="D91" s="22">
        <v>34.4</v>
      </c>
      <c r="E91" s="7">
        <v>26</v>
      </c>
      <c r="F91" s="11">
        <f t="shared" si="24"/>
        <v>7</v>
      </c>
      <c r="G91" s="23">
        <f t="shared" si="25"/>
        <v>8.3999999999999986</v>
      </c>
      <c r="H91" s="24">
        <f t="shared" si="13"/>
        <v>45.45454545454546</v>
      </c>
      <c r="I91" s="25">
        <v>3087</v>
      </c>
      <c r="J91" s="26">
        <f t="shared" si="18"/>
        <v>7</v>
      </c>
      <c r="K91" s="21">
        <f t="shared" si="19"/>
        <v>33.061769999999996</v>
      </c>
      <c r="L91" s="27">
        <v>1.75</v>
      </c>
      <c r="M91" s="28">
        <v>5</v>
      </c>
      <c r="N91" s="29">
        <f t="shared" si="20"/>
        <v>5.612353999999999</v>
      </c>
      <c r="O91" s="30">
        <f t="shared" si="21"/>
        <v>40.424123999999992</v>
      </c>
    </row>
    <row r="92" spans="1:15" x14ac:dyDescent="0.3">
      <c r="A92" s="19"/>
      <c r="B92" s="20">
        <v>0.1875</v>
      </c>
      <c r="C92" s="21">
        <v>40.9</v>
      </c>
      <c r="D92" s="33">
        <v>34.200000000000003</v>
      </c>
      <c r="E92" s="7">
        <v>26</v>
      </c>
      <c r="F92" s="11">
        <f t="shared" si="24"/>
        <v>6.6999999999999957</v>
      </c>
      <c r="G92" s="23">
        <f t="shared" si="25"/>
        <v>8.2000000000000028</v>
      </c>
      <c r="H92" s="24">
        <f t="shared" si="13"/>
        <v>44.966442953020106</v>
      </c>
      <c r="I92" s="25">
        <v>3046</v>
      </c>
      <c r="J92" s="26">
        <f t="shared" si="18"/>
        <v>6.6999999999999957</v>
      </c>
      <c r="K92" s="21">
        <f t="shared" si="19"/>
        <v>31.224545999999979</v>
      </c>
      <c r="L92" s="27">
        <v>1.75</v>
      </c>
      <c r="M92" s="28">
        <v>5</v>
      </c>
      <c r="N92" s="29">
        <f t="shared" si="20"/>
        <v>5.2449091999999959</v>
      </c>
      <c r="O92" s="30">
        <f t="shared" si="21"/>
        <v>38.21945519999997</v>
      </c>
    </row>
    <row r="93" spans="1:15" s="3" customFormat="1" x14ac:dyDescent="0.3">
      <c r="A93" s="34"/>
      <c r="B93" s="34"/>
      <c r="C93" s="34"/>
      <c r="D93" s="34"/>
      <c r="E93" s="34"/>
      <c r="F93" s="34"/>
      <c r="G93" s="34" t="s">
        <v>8</v>
      </c>
      <c r="H93" s="34">
        <f>AVERAGE(H81:H92)</f>
        <v>43.095982210402696</v>
      </c>
      <c r="I93" s="34"/>
      <c r="J93" s="34"/>
      <c r="K93" s="34">
        <f>AVERAGE(K81:K92)</f>
        <v>33.000761249999996</v>
      </c>
      <c r="L93" s="34"/>
      <c r="M93" s="34"/>
      <c r="N93" s="34">
        <f>AVERAGE(N81:N92)</f>
        <v>5.6001522499999981</v>
      </c>
      <c r="O93" s="34">
        <f>AVERAGE(O81:O92)</f>
        <v>40.35091349999999</v>
      </c>
    </row>
    <row r="94" spans="1:15" x14ac:dyDescent="0.3">
      <c r="A94" s="19">
        <v>44538</v>
      </c>
      <c r="B94" s="20">
        <v>0.27083333333333331</v>
      </c>
      <c r="C94" s="21">
        <v>40.200000000000003</v>
      </c>
      <c r="D94" s="22">
        <v>33.799999999999997</v>
      </c>
      <c r="E94" s="7">
        <v>26</v>
      </c>
      <c r="F94" s="11">
        <f>C94-D94</f>
        <v>6.4000000000000057</v>
      </c>
      <c r="G94" s="23">
        <f>D94-E94</f>
        <v>7.7999999999999972</v>
      </c>
      <c r="H94" s="24">
        <f t="shared" ref="H94:H157" si="26">(F94/(F94+G94))*100</f>
        <v>45.070422535211293</v>
      </c>
      <c r="I94" s="25">
        <v>3092</v>
      </c>
      <c r="J94" s="26">
        <f t="shared" si="18"/>
        <v>6.4000000000000057</v>
      </c>
      <c r="K94" s="21">
        <f t="shared" si="19"/>
        <v>30.276864000000028</v>
      </c>
      <c r="L94" s="27">
        <v>1.75</v>
      </c>
      <c r="M94" s="28">
        <v>5</v>
      </c>
      <c r="N94" s="29">
        <f t="shared" si="20"/>
        <v>5.055372800000006</v>
      </c>
      <c r="O94" s="30">
        <f t="shared" si="21"/>
        <v>37.08223680000004</v>
      </c>
    </row>
    <row r="95" spans="1:15" x14ac:dyDescent="0.3">
      <c r="A95" s="31"/>
      <c r="B95" s="20">
        <v>0.35416666666666669</v>
      </c>
      <c r="C95" s="21">
        <v>40.1</v>
      </c>
      <c r="D95" s="22">
        <v>33.5</v>
      </c>
      <c r="E95" s="7">
        <v>26</v>
      </c>
      <c r="F95" s="11">
        <f t="shared" ref="F95:F104" si="27">C95-D95</f>
        <v>6.6000000000000014</v>
      </c>
      <c r="G95" s="23">
        <f t="shared" ref="G95:G159" si="28">D95-E95</f>
        <v>7.5</v>
      </c>
      <c r="H95" s="24">
        <f t="shared" si="26"/>
        <v>46.808510638297882</v>
      </c>
      <c r="I95" s="25">
        <v>3092</v>
      </c>
      <c r="J95" s="26">
        <f t="shared" si="18"/>
        <v>6.6000000000000014</v>
      </c>
      <c r="K95" s="21">
        <f t="shared" si="19"/>
        <v>31.223016000000008</v>
      </c>
      <c r="L95" s="27">
        <v>1.75</v>
      </c>
      <c r="M95" s="28">
        <v>5</v>
      </c>
      <c r="N95" s="29">
        <f t="shared" si="20"/>
        <v>5.244603200000002</v>
      </c>
      <c r="O95" s="30">
        <f t="shared" si="21"/>
        <v>38.217619200000009</v>
      </c>
    </row>
    <row r="96" spans="1:15" x14ac:dyDescent="0.3">
      <c r="A96" s="31"/>
      <c r="B96" s="20">
        <v>0.4375</v>
      </c>
      <c r="C96" s="21">
        <v>40.1</v>
      </c>
      <c r="D96" s="22">
        <v>33.9</v>
      </c>
      <c r="E96" s="7">
        <v>26</v>
      </c>
      <c r="F96" s="11">
        <f t="shared" si="27"/>
        <v>6.2000000000000028</v>
      </c>
      <c r="G96" s="23">
        <f t="shared" si="28"/>
        <v>7.8999999999999986</v>
      </c>
      <c r="H96" s="24">
        <f t="shared" si="26"/>
        <v>43.971631205673773</v>
      </c>
      <c r="I96" s="25">
        <v>3020</v>
      </c>
      <c r="J96" s="26">
        <f t="shared" si="18"/>
        <v>6.2000000000000028</v>
      </c>
      <c r="K96" s="21">
        <f t="shared" si="19"/>
        <v>28.64772000000001</v>
      </c>
      <c r="L96" s="27">
        <v>1.75</v>
      </c>
      <c r="M96" s="28">
        <v>5</v>
      </c>
      <c r="N96" s="29">
        <f t="shared" si="20"/>
        <v>4.7295440000000024</v>
      </c>
      <c r="O96" s="30">
        <f t="shared" si="21"/>
        <v>35.127264000000011</v>
      </c>
    </row>
    <row r="97" spans="1:15" x14ac:dyDescent="0.3">
      <c r="A97" s="31"/>
      <c r="B97" s="20">
        <v>0.52083333333333337</v>
      </c>
      <c r="C97" s="21">
        <v>40.299999999999997</v>
      </c>
      <c r="D97" s="22">
        <v>34.299999999999997</v>
      </c>
      <c r="E97" s="7">
        <v>26</v>
      </c>
      <c r="F97" s="11">
        <f t="shared" si="27"/>
        <v>6</v>
      </c>
      <c r="G97" s="23">
        <f t="shared" si="28"/>
        <v>8.2999999999999972</v>
      </c>
      <c r="H97" s="24">
        <f t="shared" si="26"/>
        <v>41.958041958041967</v>
      </c>
      <c r="I97" s="25">
        <v>3034</v>
      </c>
      <c r="J97" s="26">
        <f t="shared" si="18"/>
        <v>6</v>
      </c>
      <c r="K97" s="21">
        <f t="shared" si="19"/>
        <v>27.852119999999999</v>
      </c>
      <c r="L97" s="27">
        <v>1.75</v>
      </c>
      <c r="M97" s="28">
        <v>5</v>
      </c>
      <c r="N97" s="29">
        <f t="shared" si="20"/>
        <v>4.570424</v>
      </c>
      <c r="O97" s="30">
        <f t="shared" si="21"/>
        <v>34.172544000000002</v>
      </c>
    </row>
    <row r="98" spans="1:15" x14ac:dyDescent="0.3">
      <c r="A98" s="31"/>
      <c r="B98" s="20">
        <v>0.60416666666666663</v>
      </c>
      <c r="C98" s="21">
        <v>40.1</v>
      </c>
      <c r="D98" s="22">
        <v>34</v>
      </c>
      <c r="E98" s="7">
        <v>26</v>
      </c>
      <c r="F98" s="11">
        <f t="shared" si="27"/>
        <v>6.1000000000000014</v>
      </c>
      <c r="G98" s="23">
        <f t="shared" si="28"/>
        <v>8</v>
      </c>
      <c r="H98" s="24">
        <f t="shared" si="26"/>
        <v>43.262411347517741</v>
      </c>
      <c r="I98" s="25">
        <v>3071</v>
      </c>
      <c r="J98" s="26">
        <f t="shared" si="18"/>
        <v>6.1000000000000014</v>
      </c>
      <c r="K98" s="21">
        <f t="shared" si="19"/>
        <v>28.661643000000005</v>
      </c>
      <c r="L98" s="27">
        <v>1.75</v>
      </c>
      <c r="M98" s="28">
        <v>5</v>
      </c>
      <c r="N98" s="29">
        <f t="shared" si="20"/>
        <v>4.7323286000000007</v>
      </c>
      <c r="O98" s="30">
        <f t="shared" si="21"/>
        <v>35.143971600000008</v>
      </c>
    </row>
    <row r="99" spans="1:15" x14ac:dyDescent="0.3">
      <c r="A99" s="31"/>
      <c r="B99" s="20">
        <v>0.6875</v>
      </c>
      <c r="C99" s="21">
        <v>41.1</v>
      </c>
      <c r="D99" s="22">
        <v>34.700000000000003</v>
      </c>
      <c r="E99" s="7">
        <v>26</v>
      </c>
      <c r="F99" s="11">
        <f t="shared" si="27"/>
        <v>6.3999999999999986</v>
      </c>
      <c r="G99" s="23">
        <f t="shared" si="28"/>
        <v>8.7000000000000028</v>
      </c>
      <c r="H99" s="24">
        <f t="shared" si="26"/>
        <v>42.38410596026489</v>
      </c>
      <c r="I99" s="25">
        <v>3091</v>
      </c>
      <c r="J99" s="26">
        <f t="shared" si="18"/>
        <v>6.3999999999999986</v>
      </c>
      <c r="K99" s="21">
        <f t="shared" si="19"/>
        <v>30.267071999999988</v>
      </c>
      <c r="L99" s="27">
        <v>1.75</v>
      </c>
      <c r="M99" s="28">
        <v>5</v>
      </c>
      <c r="N99" s="29">
        <f t="shared" si="20"/>
        <v>5.0534143999999976</v>
      </c>
      <c r="O99" s="30">
        <f t="shared" si="21"/>
        <v>37.070486399999979</v>
      </c>
    </row>
    <row r="100" spans="1:15" x14ac:dyDescent="0.3">
      <c r="A100" s="31"/>
      <c r="B100" s="20">
        <v>0.77083333333333337</v>
      </c>
      <c r="C100" s="21">
        <v>41.2</v>
      </c>
      <c r="D100" s="22">
        <v>34.700000000000003</v>
      </c>
      <c r="E100" s="7">
        <v>26</v>
      </c>
      <c r="F100" s="11">
        <f t="shared" si="27"/>
        <v>6.5</v>
      </c>
      <c r="G100" s="23">
        <f t="shared" si="28"/>
        <v>8.7000000000000028</v>
      </c>
      <c r="H100" s="24">
        <f t="shared" si="26"/>
        <v>42.763157894736835</v>
      </c>
      <c r="I100" s="25">
        <v>3081</v>
      </c>
      <c r="J100" s="26">
        <f t="shared" si="18"/>
        <v>6.5</v>
      </c>
      <c r="K100" s="21">
        <f t="shared" si="19"/>
        <v>30.640544999999996</v>
      </c>
      <c r="L100" s="27">
        <v>1.75</v>
      </c>
      <c r="M100" s="28">
        <v>5</v>
      </c>
      <c r="N100" s="29">
        <f t="shared" si="20"/>
        <v>5.1281089999999994</v>
      </c>
      <c r="O100" s="30">
        <f t="shared" si="21"/>
        <v>37.518653999999998</v>
      </c>
    </row>
    <row r="101" spans="1:15" x14ac:dyDescent="0.3">
      <c r="A101" s="31"/>
      <c r="B101" s="20">
        <v>0.85416666666666663</v>
      </c>
      <c r="C101" s="32">
        <v>41.6</v>
      </c>
      <c r="D101" s="22">
        <v>34.9</v>
      </c>
      <c r="E101" s="7">
        <v>26</v>
      </c>
      <c r="F101" s="11">
        <f t="shared" si="27"/>
        <v>6.7000000000000028</v>
      </c>
      <c r="G101" s="23">
        <f t="shared" si="28"/>
        <v>8.8999999999999986</v>
      </c>
      <c r="H101" s="24">
        <f t="shared" si="26"/>
        <v>42.948717948717963</v>
      </c>
      <c r="I101" s="25">
        <v>3021</v>
      </c>
      <c r="J101" s="26">
        <f t="shared" si="18"/>
        <v>6.7000000000000028</v>
      </c>
      <c r="K101" s="21">
        <f t="shared" si="19"/>
        <v>30.968271000000009</v>
      </c>
      <c r="L101" s="27">
        <v>1.75</v>
      </c>
      <c r="M101" s="28">
        <v>5</v>
      </c>
      <c r="N101" s="29">
        <f t="shared" si="20"/>
        <v>5.1936542000000019</v>
      </c>
      <c r="O101" s="30">
        <f t="shared" si="21"/>
        <v>37.911925200000013</v>
      </c>
    </row>
    <row r="102" spans="1:15" x14ac:dyDescent="0.3">
      <c r="A102" s="31"/>
      <c r="B102" s="20">
        <v>0.9375</v>
      </c>
      <c r="C102" s="21">
        <v>42</v>
      </c>
      <c r="D102" s="22">
        <v>35</v>
      </c>
      <c r="E102" s="7">
        <v>26</v>
      </c>
      <c r="F102" s="11">
        <f t="shared" si="27"/>
        <v>7</v>
      </c>
      <c r="G102" s="23">
        <f t="shared" si="28"/>
        <v>9</v>
      </c>
      <c r="H102" s="24">
        <f t="shared" si="26"/>
        <v>43.75</v>
      </c>
      <c r="I102" s="25">
        <v>3046</v>
      </c>
      <c r="J102" s="26">
        <f t="shared" si="18"/>
        <v>7</v>
      </c>
      <c r="K102" s="21">
        <f t="shared" si="19"/>
        <v>32.622659999999996</v>
      </c>
      <c r="L102" s="27">
        <v>1.75</v>
      </c>
      <c r="M102" s="28">
        <v>5</v>
      </c>
      <c r="N102" s="29">
        <f t="shared" si="20"/>
        <v>5.5245319999999989</v>
      </c>
      <c r="O102" s="30">
        <f t="shared" si="21"/>
        <v>39.897191999999997</v>
      </c>
    </row>
    <row r="103" spans="1:15" x14ac:dyDescent="0.3">
      <c r="A103" s="31"/>
      <c r="B103" s="20">
        <v>2.0833333333333332E-2</v>
      </c>
      <c r="C103" s="21">
        <v>42</v>
      </c>
      <c r="D103" s="22">
        <v>34.799999999999997</v>
      </c>
      <c r="E103" s="7">
        <v>26</v>
      </c>
      <c r="F103" s="11">
        <f t="shared" si="27"/>
        <v>7.2000000000000028</v>
      </c>
      <c r="G103" s="23">
        <f t="shared" si="28"/>
        <v>8.7999999999999972</v>
      </c>
      <c r="H103" s="24">
        <f t="shared" si="26"/>
        <v>45.000000000000014</v>
      </c>
      <c r="I103" s="25">
        <v>3088</v>
      </c>
      <c r="J103" s="26">
        <f t="shared" si="18"/>
        <v>7.2000000000000028</v>
      </c>
      <c r="K103" s="21">
        <f t="shared" si="19"/>
        <v>34.01740800000001</v>
      </c>
      <c r="L103" s="27">
        <v>1.75</v>
      </c>
      <c r="M103" s="28">
        <v>5</v>
      </c>
      <c r="N103" s="29">
        <f t="shared" si="20"/>
        <v>5.8034816000000022</v>
      </c>
      <c r="O103" s="30">
        <f t="shared" si="21"/>
        <v>41.570889600000015</v>
      </c>
    </row>
    <row r="104" spans="1:15" x14ac:dyDescent="0.3">
      <c r="A104" s="31"/>
      <c r="B104" s="20">
        <v>0.10416666666666667</v>
      </c>
      <c r="C104" s="21">
        <v>41.9</v>
      </c>
      <c r="D104" s="22">
        <v>34.9</v>
      </c>
      <c r="E104" s="7">
        <v>26</v>
      </c>
      <c r="F104" s="11">
        <f t="shared" si="27"/>
        <v>7</v>
      </c>
      <c r="G104" s="23">
        <f t="shared" si="28"/>
        <v>8.8999999999999986</v>
      </c>
      <c r="H104" s="24">
        <f t="shared" si="26"/>
        <v>44.025157232704402</v>
      </c>
      <c r="I104" s="25">
        <v>3134</v>
      </c>
      <c r="J104" s="26">
        <f t="shared" si="18"/>
        <v>7</v>
      </c>
      <c r="K104" s="21">
        <f t="shared" si="19"/>
        <v>33.56514</v>
      </c>
      <c r="L104" s="27">
        <v>1.75</v>
      </c>
      <c r="M104" s="28">
        <v>5</v>
      </c>
      <c r="N104" s="29">
        <f t="shared" si="20"/>
        <v>5.7130279999999996</v>
      </c>
      <c r="O104" s="30">
        <f t="shared" si="21"/>
        <v>41.028168000000001</v>
      </c>
    </row>
    <row r="105" spans="1:15" x14ac:dyDescent="0.3">
      <c r="A105" s="31"/>
      <c r="B105" s="20">
        <v>0.1875</v>
      </c>
      <c r="C105" s="21">
        <v>42.3</v>
      </c>
      <c r="D105" s="33">
        <v>35.1</v>
      </c>
      <c r="E105" s="7">
        <v>26</v>
      </c>
      <c r="F105" s="11">
        <f>C105-D105</f>
        <v>7.1999999999999957</v>
      </c>
      <c r="G105" s="23">
        <f t="shared" si="28"/>
        <v>9.1000000000000014</v>
      </c>
      <c r="H105" s="24">
        <f t="shared" si="26"/>
        <v>44.171779141104281</v>
      </c>
      <c r="I105" s="25">
        <v>3149</v>
      </c>
      <c r="J105" s="26">
        <f t="shared" si="18"/>
        <v>7.1999999999999957</v>
      </c>
      <c r="K105" s="21">
        <f t="shared" si="19"/>
        <v>34.689383999999976</v>
      </c>
      <c r="L105" s="27">
        <v>1.75</v>
      </c>
      <c r="M105" s="28">
        <v>5</v>
      </c>
      <c r="N105" s="29">
        <f t="shared" si="20"/>
        <v>5.9378767999999953</v>
      </c>
      <c r="O105" s="30">
        <f t="shared" si="21"/>
        <v>42.377260799999974</v>
      </c>
    </row>
    <row r="106" spans="1:15" s="3" customFormat="1" x14ac:dyDescent="0.3">
      <c r="A106" s="34"/>
      <c r="B106" s="34"/>
      <c r="C106" s="34"/>
      <c r="D106" s="34"/>
      <c r="E106" s="34"/>
      <c r="F106" s="34"/>
      <c r="G106" s="34" t="s">
        <v>8</v>
      </c>
      <c r="H106" s="34">
        <f>AVERAGE(H94:H105)</f>
        <v>43.842827988522579</v>
      </c>
      <c r="I106" s="34"/>
      <c r="J106" s="34"/>
      <c r="K106" s="34">
        <f>AVERAGE(K94:K105)</f>
        <v>31.119320250000001</v>
      </c>
      <c r="L106" s="34"/>
      <c r="M106" s="34"/>
      <c r="N106" s="34">
        <f>AVERAGE(N94:N105)</f>
        <v>5.2238640500000013</v>
      </c>
      <c r="O106" s="34">
        <f>AVERAGE(O94:O105)</f>
        <v>38.093184300000011</v>
      </c>
    </row>
    <row r="107" spans="1:15" x14ac:dyDescent="0.3">
      <c r="A107" s="19">
        <v>44539</v>
      </c>
      <c r="B107" s="20">
        <v>0.27083333333333331</v>
      </c>
      <c r="C107" s="21">
        <v>42.2</v>
      </c>
      <c r="D107" s="22">
        <v>35</v>
      </c>
      <c r="E107" s="7">
        <v>26</v>
      </c>
      <c r="F107" s="11">
        <f t="shared" ref="F107:F117" si="29">C107-D107</f>
        <v>7.2000000000000028</v>
      </c>
      <c r="G107" s="23">
        <f t="shared" si="28"/>
        <v>9</v>
      </c>
      <c r="H107" s="24">
        <f t="shared" si="26"/>
        <v>44.44444444444445</v>
      </c>
      <c r="I107" s="25">
        <v>3063</v>
      </c>
      <c r="J107" s="26">
        <f t="shared" si="18"/>
        <v>7.2000000000000028</v>
      </c>
      <c r="K107" s="21">
        <f t="shared" si="19"/>
        <v>33.742008000000006</v>
      </c>
      <c r="L107" s="27">
        <v>1.75</v>
      </c>
      <c r="M107" s="28">
        <v>5</v>
      </c>
      <c r="N107" s="29">
        <f t="shared" si="20"/>
        <v>5.7484016000000011</v>
      </c>
      <c r="O107" s="30">
        <f t="shared" si="21"/>
        <v>41.240409600000007</v>
      </c>
    </row>
    <row r="108" spans="1:15" x14ac:dyDescent="0.3">
      <c r="A108" s="19"/>
      <c r="B108" s="20">
        <v>0.35416666666666669</v>
      </c>
      <c r="C108" s="21">
        <v>42</v>
      </c>
      <c r="D108" s="22">
        <v>34.9</v>
      </c>
      <c r="E108" s="7">
        <v>26</v>
      </c>
      <c r="F108" s="11">
        <f t="shared" si="29"/>
        <v>7.1000000000000014</v>
      </c>
      <c r="G108" s="23">
        <f t="shared" si="28"/>
        <v>8.8999999999999986</v>
      </c>
      <c r="H108" s="24">
        <f t="shared" si="26"/>
        <v>44.375000000000007</v>
      </c>
      <c r="I108" s="25">
        <v>3104</v>
      </c>
      <c r="J108" s="26">
        <f t="shared" si="18"/>
        <v>7.1000000000000014</v>
      </c>
      <c r="K108" s="21">
        <f t="shared" si="19"/>
        <v>33.718752000000002</v>
      </c>
      <c r="L108" s="27">
        <v>1.75</v>
      </c>
      <c r="M108" s="28">
        <v>5</v>
      </c>
      <c r="N108" s="29">
        <f t="shared" si="20"/>
        <v>5.7437504000000006</v>
      </c>
      <c r="O108" s="30">
        <f t="shared" si="21"/>
        <v>41.212502400000005</v>
      </c>
    </row>
    <row r="109" spans="1:15" x14ac:dyDescent="0.3">
      <c r="A109" s="19"/>
      <c r="B109" s="20">
        <v>0.4375</v>
      </c>
      <c r="C109" s="21">
        <v>42.6</v>
      </c>
      <c r="D109" s="22">
        <v>35.5</v>
      </c>
      <c r="E109" s="7">
        <v>26</v>
      </c>
      <c r="F109" s="11">
        <f t="shared" si="29"/>
        <v>7.1000000000000014</v>
      </c>
      <c r="G109" s="23">
        <f t="shared" si="28"/>
        <v>9.5</v>
      </c>
      <c r="H109" s="24">
        <f t="shared" si="26"/>
        <v>42.7710843373494</v>
      </c>
      <c r="I109" s="25">
        <v>3089</v>
      </c>
      <c r="J109" s="26">
        <f t="shared" si="18"/>
        <v>7.1000000000000014</v>
      </c>
      <c r="K109" s="21">
        <f t="shared" si="19"/>
        <v>33.555807000000001</v>
      </c>
      <c r="L109" s="27">
        <v>1.75</v>
      </c>
      <c r="M109" s="28">
        <v>5</v>
      </c>
      <c r="N109" s="29">
        <f t="shared" si="20"/>
        <v>5.7111613999999999</v>
      </c>
      <c r="O109" s="30">
        <f t="shared" si="21"/>
        <v>41.016968400000003</v>
      </c>
    </row>
    <row r="110" spans="1:15" x14ac:dyDescent="0.3">
      <c r="A110" s="19"/>
      <c r="B110" s="20">
        <v>0.52083333333333337</v>
      </c>
      <c r="C110" s="21">
        <v>42.4</v>
      </c>
      <c r="D110" s="22">
        <v>35.200000000000003</v>
      </c>
      <c r="E110" s="7">
        <v>26</v>
      </c>
      <c r="F110" s="11">
        <f t="shared" si="29"/>
        <v>7.1999999999999957</v>
      </c>
      <c r="G110" s="23">
        <f t="shared" si="28"/>
        <v>9.2000000000000028</v>
      </c>
      <c r="H110" s="24">
        <f t="shared" si="26"/>
        <v>43.902439024390219</v>
      </c>
      <c r="I110" s="25">
        <v>3157</v>
      </c>
      <c r="J110" s="26">
        <f t="shared" si="18"/>
        <v>7.1999999999999957</v>
      </c>
      <c r="K110" s="21">
        <f t="shared" si="19"/>
        <v>34.777511999999973</v>
      </c>
      <c r="L110" s="27">
        <v>1.75</v>
      </c>
      <c r="M110" s="28">
        <v>5</v>
      </c>
      <c r="N110" s="29">
        <f t="shared" si="20"/>
        <v>5.955502399999995</v>
      </c>
      <c r="O110" s="30">
        <f t="shared" si="21"/>
        <v>42.483014399999966</v>
      </c>
    </row>
    <row r="111" spans="1:15" x14ac:dyDescent="0.3">
      <c r="A111" s="19"/>
      <c r="B111" s="20">
        <v>0.60416666666666663</v>
      </c>
      <c r="C111" s="21">
        <v>43.2</v>
      </c>
      <c r="D111" s="22">
        <v>36</v>
      </c>
      <c r="E111" s="7">
        <v>26</v>
      </c>
      <c r="F111" s="11">
        <f t="shared" si="29"/>
        <v>7.2000000000000028</v>
      </c>
      <c r="G111" s="23">
        <f t="shared" si="28"/>
        <v>10</v>
      </c>
      <c r="H111" s="24">
        <f t="shared" si="26"/>
        <v>41.86046511627908</v>
      </c>
      <c r="I111" s="25">
        <v>3076</v>
      </c>
      <c r="J111" s="26">
        <f t="shared" si="18"/>
        <v>7.2000000000000028</v>
      </c>
      <c r="K111" s="21">
        <f t="shared" si="19"/>
        <v>33.885216000000007</v>
      </c>
      <c r="L111" s="27">
        <v>1.75</v>
      </c>
      <c r="M111" s="28">
        <v>5</v>
      </c>
      <c r="N111" s="29">
        <f t="shared" si="20"/>
        <v>5.7770432000000014</v>
      </c>
      <c r="O111" s="30">
        <f t="shared" si="21"/>
        <v>41.412259200000008</v>
      </c>
    </row>
    <row r="112" spans="1:15" x14ac:dyDescent="0.3">
      <c r="A112" s="19"/>
      <c r="B112" s="20">
        <v>0.6875</v>
      </c>
      <c r="C112" s="21">
        <v>43.7</v>
      </c>
      <c r="D112" s="22">
        <v>36.200000000000003</v>
      </c>
      <c r="E112" s="7">
        <v>26</v>
      </c>
      <c r="F112" s="11">
        <f t="shared" si="29"/>
        <v>7.5</v>
      </c>
      <c r="G112" s="23">
        <f t="shared" si="28"/>
        <v>10.200000000000003</v>
      </c>
      <c r="H112" s="24">
        <f t="shared" si="26"/>
        <v>42.372881355932194</v>
      </c>
      <c r="I112" s="25">
        <v>3102</v>
      </c>
      <c r="J112" s="26">
        <f t="shared" si="18"/>
        <v>7.5</v>
      </c>
      <c r="K112" s="21">
        <f t="shared" si="19"/>
        <v>35.59545</v>
      </c>
      <c r="L112" s="27">
        <v>1.75</v>
      </c>
      <c r="M112" s="28">
        <v>5</v>
      </c>
      <c r="N112" s="29">
        <f t="shared" si="20"/>
        <v>6.1190899999999999</v>
      </c>
      <c r="O112" s="30">
        <f t="shared" si="21"/>
        <v>43.46454</v>
      </c>
    </row>
    <row r="113" spans="1:15" x14ac:dyDescent="0.3">
      <c r="A113" s="19"/>
      <c r="B113" s="20">
        <v>0.77083333333333337</v>
      </c>
      <c r="C113" s="21">
        <v>43.5</v>
      </c>
      <c r="D113" s="22">
        <v>36.200000000000003</v>
      </c>
      <c r="E113" s="7">
        <v>26</v>
      </c>
      <c r="F113" s="11">
        <f t="shared" si="29"/>
        <v>7.2999999999999972</v>
      </c>
      <c r="G113" s="23">
        <f t="shared" si="28"/>
        <v>10.200000000000003</v>
      </c>
      <c r="H113" s="24">
        <f t="shared" si="26"/>
        <v>41.714285714285701</v>
      </c>
      <c r="I113" s="25">
        <v>3092</v>
      </c>
      <c r="J113" s="26">
        <f t="shared" si="18"/>
        <v>7.2999999999999972</v>
      </c>
      <c r="K113" s="21">
        <f t="shared" si="19"/>
        <v>34.534547999999987</v>
      </c>
      <c r="L113" s="27">
        <v>1.75</v>
      </c>
      <c r="M113" s="28">
        <v>5</v>
      </c>
      <c r="N113" s="29">
        <f t="shared" si="20"/>
        <v>5.906909599999997</v>
      </c>
      <c r="O113" s="30">
        <f t="shared" si="21"/>
        <v>42.191457599999985</v>
      </c>
    </row>
    <row r="114" spans="1:15" x14ac:dyDescent="0.3">
      <c r="A114" s="19"/>
      <c r="B114" s="20">
        <v>0.85416666666666663</v>
      </c>
      <c r="C114" s="32">
        <v>43.2</v>
      </c>
      <c r="D114" s="22">
        <v>35.799999999999997</v>
      </c>
      <c r="E114" s="7">
        <v>26</v>
      </c>
      <c r="F114" s="11">
        <f t="shared" si="29"/>
        <v>7.4000000000000057</v>
      </c>
      <c r="G114" s="23">
        <f t="shared" si="28"/>
        <v>9.7999999999999972</v>
      </c>
      <c r="H114" s="24">
        <f t="shared" si="26"/>
        <v>43.023255813953512</v>
      </c>
      <c r="I114" s="25">
        <v>3032</v>
      </c>
      <c r="J114" s="26">
        <f t="shared" si="18"/>
        <v>7.4000000000000057</v>
      </c>
      <c r="K114" s="21">
        <f t="shared" si="19"/>
        <v>34.328304000000024</v>
      </c>
      <c r="L114" s="27">
        <v>1.75</v>
      </c>
      <c r="M114" s="28">
        <v>5</v>
      </c>
      <c r="N114" s="29">
        <f t="shared" si="20"/>
        <v>5.865660800000005</v>
      </c>
      <c r="O114" s="30">
        <f t="shared" si="21"/>
        <v>41.943964800000032</v>
      </c>
    </row>
    <row r="115" spans="1:15" x14ac:dyDescent="0.3">
      <c r="A115" s="19"/>
      <c r="B115" s="20">
        <v>0.9375</v>
      </c>
      <c r="C115" s="21">
        <v>42.7</v>
      </c>
      <c r="D115" s="22">
        <v>35.5</v>
      </c>
      <c r="E115" s="7">
        <v>26</v>
      </c>
      <c r="F115" s="11">
        <f t="shared" si="29"/>
        <v>7.2000000000000028</v>
      </c>
      <c r="G115" s="23">
        <f t="shared" si="28"/>
        <v>9.5</v>
      </c>
      <c r="H115" s="24">
        <f t="shared" si="26"/>
        <v>43.11377245508983</v>
      </c>
      <c r="I115" s="25">
        <v>3096</v>
      </c>
      <c r="J115" s="26">
        <f t="shared" si="18"/>
        <v>7.2000000000000028</v>
      </c>
      <c r="K115" s="21">
        <f t="shared" si="19"/>
        <v>34.105536000000008</v>
      </c>
      <c r="L115" s="27">
        <v>1.75</v>
      </c>
      <c r="M115" s="28">
        <v>5</v>
      </c>
      <c r="N115" s="29">
        <f t="shared" si="20"/>
        <v>5.8211072000000019</v>
      </c>
      <c r="O115" s="30">
        <f t="shared" si="21"/>
        <v>41.676643200000008</v>
      </c>
    </row>
    <row r="116" spans="1:15" x14ac:dyDescent="0.3">
      <c r="A116" s="19"/>
      <c r="B116" s="20">
        <v>2.0833333333333332E-2</v>
      </c>
      <c r="C116" s="21">
        <v>42</v>
      </c>
      <c r="D116" s="22">
        <v>35</v>
      </c>
      <c r="E116" s="7">
        <v>26</v>
      </c>
      <c r="F116" s="11">
        <f t="shared" si="29"/>
        <v>7</v>
      </c>
      <c r="G116" s="23">
        <f t="shared" si="28"/>
        <v>9</v>
      </c>
      <c r="H116" s="24">
        <f t="shared" si="26"/>
        <v>43.75</v>
      </c>
      <c r="I116" s="25">
        <v>3185</v>
      </c>
      <c r="J116" s="26">
        <f t="shared" si="18"/>
        <v>7</v>
      </c>
      <c r="K116" s="21">
        <f t="shared" si="19"/>
        <v>34.111349999999995</v>
      </c>
      <c r="L116" s="27">
        <v>1.75</v>
      </c>
      <c r="M116" s="28">
        <v>5</v>
      </c>
      <c r="N116" s="29">
        <f t="shared" si="20"/>
        <v>5.8222699999999987</v>
      </c>
      <c r="O116" s="30">
        <f t="shared" si="21"/>
        <v>41.683619999999991</v>
      </c>
    </row>
    <row r="117" spans="1:15" x14ac:dyDescent="0.3">
      <c r="A117" s="19"/>
      <c r="B117" s="20">
        <v>0.10416666666666667</v>
      </c>
      <c r="C117" s="21">
        <v>41.9</v>
      </c>
      <c r="D117" s="22">
        <v>34.5</v>
      </c>
      <c r="E117" s="7">
        <v>26</v>
      </c>
      <c r="F117" s="11">
        <f t="shared" si="29"/>
        <v>7.3999999999999986</v>
      </c>
      <c r="G117" s="23">
        <f t="shared" si="28"/>
        <v>8.5</v>
      </c>
      <c r="H117" s="24">
        <f t="shared" si="26"/>
        <v>46.540880503144649</v>
      </c>
      <c r="I117" s="25">
        <v>3069</v>
      </c>
      <c r="J117" s="26">
        <f t="shared" si="18"/>
        <v>7.3999999999999986</v>
      </c>
      <c r="K117" s="21">
        <f t="shared" si="19"/>
        <v>34.747217999999997</v>
      </c>
      <c r="L117" s="27">
        <v>1.75</v>
      </c>
      <c r="M117" s="28">
        <v>5</v>
      </c>
      <c r="N117" s="29">
        <f t="shared" si="20"/>
        <v>5.9494435999999995</v>
      </c>
      <c r="O117" s="30">
        <f t="shared" si="21"/>
        <v>42.446661599999999</v>
      </c>
    </row>
    <row r="118" spans="1:15" x14ac:dyDescent="0.3">
      <c r="A118" s="19"/>
      <c r="B118" s="20">
        <v>0.1875</v>
      </c>
      <c r="C118" s="21">
        <v>41.9</v>
      </c>
      <c r="D118" s="35">
        <v>34.700000000000003</v>
      </c>
      <c r="E118" s="7">
        <v>26</v>
      </c>
      <c r="F118" s="11">
        <f>C118-D118</f>
        <v>7.1999999999999957</v>
      </c>
      <c r="G118" s="23">
        <f t="shared" si="28"/>
        <v>8.7000000000000028</v>
      </c>
      <c r="H118" s="24">
        <f t="shared" si="26"/>
        <v>45.283018867924504</v>
      </c>
      <c r="I118" s="25">
        <v>2955</v>
      </c>
      <c r="J118" s="26">
        <f t="shared" si="18"/>
        <v>7.1999999999999957</v>
      </c>
      <c r="K118" s="21">
        <f t="shared" si="19"/>
        <v>32.552279999999975</v>
      </c>
      <c r="L118" s="27">
        <v>1.75</v>
      </c>
      <c r="M118" s="28">
        <v>5</v>
      </c>
      <c r="N118" s="29">
        <f t="shared" si="20"/>
        <v>5.5104559999999951</v>
      </c>
      <c r="O118" s="30">
        <f t="shared" si="21"/>
        <v>39.812735999999973</v>
      </c>
    </row>
    <row r="119" spans="1:15" s="3" customFormat="1" x14ac:dyDescent="0.3">
      <c r="A119" s="34"/>
      <c r="B119" s="34"/>
      <c r="C119" s="34"/>
      <c r="D119" s="34"/>
      <c r="E119" s="34"/>
      <c r="F119" s="34"/>
      <c r="G119" s="34" t="s">
        <v>8</v>
      </c>
      <c r="H119" s="34">
        <f>AVERAGE(H107:H118)</f>
        <v>43.595960636066131</v>
      </c>
      <c r="I119" s="34"/>
      <c r="J119" s="34"/>
      <c r="K119" s="34">
        <f>AVERAGE(K107:K118)</f>
        <v>34.137831749999997</v>
      </c>
      <c r="L119" s="34"/>
      <c r="M119" s="34"/>
      <c r="N119" s="34">
        <f>AVERAGE(N107:N118)</f>
        <v>5.8275663499999988</v>
      </c>
      <c r="O119" s="34">
        <f>AVERAGE(O107:O118)</f>
        <v>41.715398099999994</v>
      </c>
    </row>
    <row r="120" spans="1:15" x14ac:dyDescent="0.3">
      <c r="A120" s="19">
        <v>44540</v>
      </c>
      <c r="B120" s="20">
        <v>0.27083333333333331</v>
      </c>
      <c r="C120" s="21">
        <v>42.2</v>
      </c>
      <c r="D120" s="22">
        <v>34.9</v>
      </c>
      <c r="E120" s="7">
        <v>26</v>
      </c>
      <c r="F120" s="11">
        <f t="shared" ref="F120:G181" si="30">C120-D120</f>
        <v>7.3000000000000043</v>
      </c>
      <c r="G120" s="23">
        <f t="shared" si="28"/>
        <v>8.8999999999999986</v>
      </c>
      <c r="H120" s="24">
        <f t="shared" si="26"/>
        <v>45.061728395061742</v>
      </c>
      <c r="I120" s="25">
        <v>3143</v>
      </c>
      <c r="J120" s="26">
        <f t="shared" si="18"/>
        <v>7.3000000000000043</v>
      </c>
      <c r="K120" s="21">
        <f t="shared" si="19"/>
        <v>35.104167000000018</v>
      </c>
      <c r="L120" s="27">
        <v>1.75</v>
      </c>
      <c r="M120" s="28">
        <v>5</v>
      </c>
      <c r="N120" s="29">
        <f t="shared" si="20"/>
        <v>6.0208334000000034</v>
      </c>
      <c r="O120" s="30">
        <f t="shared" si="21"/>
        <v>42.875000400000019</v>
      </c>
    </row>
    <row r="121" spans="1:15" x14ac:dyDescent="0.3">
      <c r="A121" s="31"/>
      <c r="B121" s="20">
        <v>0.35416666666666669</v>
      </c>
      <c r="C121" s="21">
        <v>42.2</v>
      </c>
      <c r="D121" s="22">
        <v>35</v>
      </c>
      <c r="E121" s="7">
        <v>26</v>
      </c>
      <c r="F121" s="11">
        <f t="shared" si="30"/>
        <v>7.2000000000000028</v>
      </c>
      <c r="G121" s="23">
        <f t="shared" si="28"/>
        <v>9</v>
      </c>
      <c r="H121" s="24">
        <f t="shared" si="26"/>
        <v>44.44444444444445</v>
      </c>
      <c r="I121" s="25">
        <v>3149</v>
      </c>
      <c r="J121" s="26">
        <f t="shared" si="18"/>
        <v>7.2000000000000028</v>
      </c>
      <c r="K121" s="21">
        <f t="shared" si="19"/>
        <v>34.689384000000011</v>
      </c>
      <c r="L121" s="27">
        <v>1.75</v>
      </c>
      <c r="M121" s="28">
        <v>5</v>
      </c>
      <c r="N121" s="29">
        <f t="shared" si="20"/>
        <v>5.9378768000000024</v>
      </c>
      <c r="O121" s="30">
        <f t="shared" si="21"/>
        <v>42.377260800000016</v>
      </c>
    </row>
    <row r="122" spans="1:15" x14ac:dyDescent="0.3">
      <c r="A122" s="31"/>
      <c r="B122" s="20">
        <v>0.4375</v>
      </c>
      <c r="C122" s="21">
        <v>41.8</v>
      </c>
      <c r="D122" s="22">
        <v>34.799999999999997</v>
      </c>
      <c r="E122" s="7">
        <v>26</v>
      </c>
      <c r="F122" s="11">
        <f t="shared" si="30"/>
        <v>7</v>
      </c>
      <c r="G122" s="23">
        <f t="shared" si="28"/>
        <v>8.7999999999999972</v>
      </c>
      <c r="H122" s="24">
        <f t="shared" si="26"/>
        <v>44.303797468354439</v>
      </c>
      <c r="I122" s="25">
        <v>3088</v>
      </c>
      <c r="J122" s="26">
        <f t="shared" si="18"/>
        <v>7</v>
      </c>
      <c r="K122" s="21">
        <f t="shared" si="19"/>
        <v>33.072479999999999</v>
      </c>
      <c r="L122" s="27">
        <v>1.75</v>
      </c>
      <c r="M122" s="28">
        <v>5</v>
      </c>
      <c r="N122" s="29">
        <f t="shared" si="20"/>
        <v>5.6144959999999999</v>
      </c>
      <c r="O122" s="30">
        <f t="shared" si="21"/>
        <v>40.436976000000001</v>
      </c>
    </row>
    <row r="123" spans="1:15" x14ac:dyDescent="0.3">
      <c r="A123" s="31"/>
      <c r="B123" s="20">
        <v>0.52083333333333337</v>
      </c>
      <c r="C123" s="21">
        <v>42.5</v>
      </c>
      <c r="D123" s="22">
        <v>35.4</v>
      </c>
      <c r="E123" s="7">
        <v>26</v>
      </c>
      <c r="F123" s="11">
        <f t="shared" si="30"/>
        <v>7.1000000000000014</v>
      </c>
      <c r="G123" s="23">
        <f t="shared" si="28"/>
        <v>9.3999999999999986</v>
      </c>
      <c r="H123" s="24">
        <f t="shared" si="26"/>
        <v>43.030303030303038</v>
      </c>
      <c r="I123" s="25">
        <v>3104</v>
      </c>
      <c r="J123" s="26">
        <f t="shared" si="18"/>
        <v>7.1000000000000014</v>
      </c>
      <c r="K123" s="21">
        <f t="shared" si="19"/>
        <v>33.718752000000002</v>
      </c>
      <c r="L123" s="27">
        <v>1.75</v>
      </c>
      <c r="M123" s="28">
        <v>5</v>
      </c>
      <c r="N123" s="29">
        <f t="shared" si="20"/>
        <v>5.7437504000000006</v>
      </c>
      <c r="O123" s="30">
        <f t="shared" si="21"/>
        <v>41.212502400000005</v>
      </c>
    </row>
    <row r="124" spans="1:15" x14ac:dyDescent="0.3">
      <c r="A124" s="31"/>
      <c r="B124" s="20">
        <v>0.60416666666666663</v>
      </c>
      <c r="C124" s="21">
        <v>41.6</v>
      </c>
      <c r="D124" s="22">
        <v>35.200000000000003</v>
      </c>
      <c r="E124" s="7">
        <v>26</v>
      </c>
      <c r="F124" s="11">
        <f t="shared" si="30"/>
        <v>6.3999999999999986</v>
      </c>
      <c r="G124" s="23">
        <f t="shared" si="28"/>
        <v>9.2000000000000028</v>
      </c>
      <c r="H124" s="24">
        <f t="shared" si="26"/>
        <v>41.025641025641015</v>
      </c>
      <c r="I124" s="25">
        <v>3067</v>
      </c>
      <c r="J124" s="26">
        <f t="shared" si="18"/>
        <v>6.3999999999999986</v>
      </c>
      <c r="K124" s="21">
        <f t="shared" si="19"/>
        <v>30.032063999999991</v>
      </c>
      <c r="L124" s="27">
        <v>1.75</v>
      </c>
      <c r="M124" s="28">
        <v>5</v>
      </c>
      <c r="N124" s="29">
        <f t="shared" si="20"/>
        <v>5.0064127999999979</v>
      </c>
      <c r="O124" s="30">
        <f t="shared" si="21"/>
        <v>36.788476799999991</v>
      </c>
    </row>
    <row r="125" spans="1:15" x14ac:dyDescent="0.3">
      <c r="A125" s="31"/>
      <c r="B125" s="20">
        <v>0.6875</v>
      </c>
      <c r="C125" s="21">
        <v>40.700000000000003</v>
      </c>
      <c r="D125" s="22">
        <v>34.299999999999997</v>
      </c>
      <c r="E125" s="7">
        <v>26</v>
      </c>
      <c r="F125" s="11">
        <f t="shared" si="30"/>
        <v>6.4000000000000057</v>
      </c>
      <c r="G125" s="23">
        <f t="shared" si="28"/>
        <v>8.2999999999999972</v>
      </c>
      <c r="H125" s="24">
        <f t="shared" si="26"/>
        <v>43.537414965986429</v>
      </c>
      <c r="I125" s="25">
        <v>3060</v>
      </c>
      <c r="J125" s="26">
        <f t="shared" si="18"/>
        <v>6.4000000000000057</v>
      </c>
      <c r="K125" s="21">
        <f t="shared" si="19"/>
        <v>29.963520000000027</v>
      </c>
      <c r="L125" s="27">
        <v>1.75</v>
      </c>
      <c r="M125" s="28">
        <v>5</v>
      </c>
      <c r="N125" s="29">
        <f t="shared" si="20"/>
        <v>4.9927040000000051</v>
      </c>
      <c r="O125" s="30">
        <f t="shared" si="21"/>
        <v>36.706224000000034</v>
      </c>
    </row>
    <row r="126" spans="1:15" x14ac:dyDescent="0.3">
      <c r="A126" s="31"/>
      <c r="B126" s="20">
        <v>0.77083333333333337</v>
      </c>
      <c r="C126" s="21">
        <v>40.5</v>
      </c>
      <c r="D126" s="22">
        <v>34.299999999999997</v>
      </c>
      <c r="E126" s="7">
        <v>26</v>
      </c>
      <c r="F126" s="11">
        <f t="shared" si="30"/>
        <v>6.2000000000000028</v>
      </c>
      <c r="G126" s="23">
        <f t="shared" si="28"/>
        <v>8.2999999999999972</v>
      </c>
      <c r="H126" s="24">
        <f t="shared" si="26"/>
        <v>42.758620689655189</v>
      </c>
      <c r="I126" s="25">
        <v>3089</v>
      </c>
      <c r="J126" s="26">
        <f t="shared" si="18"/>
        <v>6.2000000000000028</v>
      </c>
      <c r="K126" s="21">
        <f t="shared" si="19"/>
        <v>29.302254000000012</v>
      </c>
      <c r="L126" s="27">
        <v>1.75</v>
      </c>
      <c r="M126" s="28">
        <v>5</v>
      </c>
      <c r="N126" s="29">
        <f t="shared" si="20"/>
        <v>4.8604508000000024</v>
      </c>
      <c r="O126" s="30">
        <f t="shared" si="21"/>
        <v>35.912704800000014</v>
      </c>
    </row>
    <row r="127" spans="1:15" x14ac:dyDescent="0.3">
      <c r="A127" s="31"/>
      <c r="B127" s="20">
        <v>0.85416666666666663</v>
      </c>
      <c r="C127" s="32">
        <v>41</v>
      </c>
      <c r="D127" s="22">
        <v>34.6</v>
      </c>
      <c r="E127" s="7">
        <v>26</v>
      </c>
      <c r="F127" s="11">
        <f t="shared" si="30"/>
        <v>6.3999999999999986</v>
      </c>
      <c r="G127" s="23">
        <f t="shared" si="28"/>
        <v>8.6000000000000014</v>
      </c>
      <c r="H127" s="24">
        <f t="shared" si="26"/>
        <v>42.666666666666657</v>
      </c>
      <c r="I127" s="25">
        <v>3154</v>
      </c>
      <c r="J127" s="26">
        <f t="shared" si="18"/>
        <v>6.3999999999999986</v>
      </c>
      <c r="K127" s="21">
        <f t="shared" si="19"/>
        <v>30.883967999999992</v>
      </c>
      <c r="L127" s="27">
        <v>1.75</v>
      </c>
      <c r="M127" s="28">
        <v>5</v>
      </c>
      <c r="N127" s="29">
        <f t="shared" si="20"/>
        <v>5.1767935999999981</v>
      </c>
      <c r="O127" s="30">
        <f t="shared" si="21"/>
        <v>37.810761599999992</v>
      </c>
    </row>
    <row r="128" spans="1:15" x14ac:dyDescent="0.3">
      <c r="A128" s="31"/>
      <c r="B128" s="20">
        <v>0.9375</v>
      </c>
      <c r="C128" s="21">
        <v>41.1</v>
      </c>
      <c r="D128" s="22">
        <v>34</v>
      </c>
      <c r="E128" s="7">
        <v>26</v>
      </c>
      <c r="F128" s="11">
        <f t="shared" si="30"/>
        <v>7.1000000000000014</v>
      </c>
      <c r="G128" s="23">
        <f t="shared" si="28"/>
        <v>8</v>
      </c>
      <c r="H128" s="24">
        <f t="shared" si="26"/>
        <v>47.019867549668881</v>
      </c>
      <c r="I128" s="25">
        <v>3181</v>
      </c>
      <c r="J128" s="26">
        <f t="shared" si="18"/>
        <v>7.1000000000000014</v>
      </c>
      <c r="K128" s="21">
        <f t="shared" si="19"/>
        <v>34.555203000000006</v>
      </c>
      <c r="L128" s="27">
        <v>1.75</v>
      </c>
      <c r="M128" s="28">
        <v>5</v>
      </c>
      <c r="N128" s="29">
        <f t="shared" si="20"/>
        <v>5.9110406000000015</v>
      </c>
      <c r="O128" s="30">
        <f t="shared" si="21"/>
        <v>42.216243600000006</v>
      </c>
    </row>
    <row r="129" spans="1:15" x14ac:dyDescent="0.3">
      <c r="A129" s="31"/>
      <c r="B129" s="20">
        <v>2.0833333333333332E-2</v>
      </c>
      <c r="C129" s="21">
        <v>41.7</v>
      </c>
      <c r="D129" s="22">
        <v>35</v>
      </c>
      <c r="E129" s="7">
        <v>26</v>
      </c>
      <c r="F129" s="11">
        <f t="shared" si="30"/>
        <v>6.7000000000000028</v>
      </c>
      <c r="G129" s="23">
        <f t="shared" si="28"/>
        <v>9</v>
      </c>
      <c r="H129" s="24">
        <f t="shared" si="26"/>
        <v>42.675159235668801</v>
      </c>
      <c r="I129" s="25">
        <v>3011</v>
      </c>
      <c r="J129" s="26">
        <f t="shared" si="18"/>
        <v>6.7000000000000028</v>
      </c>
      <c r="K129" s="21">
        <f t="shared" si="19"/>
        <v>30.86576100000001</v>
      </c>
      <c r="L129" s="27">
        <v>1.75</v>
      </c>
      <c r="M129" s="28">
        <v>5</v>
      </c>
      <c r="N129" s="29">
        <f t="shared" si="20"/>
        <v>5.1731522000000023</v>
      </c>
      <c r="O129" s="30">
        <f t="shared" si="21"/>
        <v>37.78891320000001</v>
      </c>
    </row>
    <row r="130" spans="1:15" x14ac:dyDescent="0.3">
      <c r="A130" s="31"/>
      <c r="B130" s="20">
        <v>0.10416666666666667</v>
      </c>
      <c r="C130" s="21">
        <v>41.1</v>
      </c>
      <c r="D130" s="22">
        <v>34</v>
      </c>
      <c r="E130" s="7">
        <v>26</v>
      </c>
      <c r="F130" s="11">
        <f t="shared" si="30"/>
        <v>7.1000000000000014</v>
      </c>
      <c r="G130" s="23">
        <f t="shared" si="28"/>
        <v>8</v>
      </c>
      <c r="H130" s="24">
        <f t="shared" si="26"/>
        <v>47.019867549668881</v>
      </c>
      <c r="I130" s="25">
        <v>3111</v>
      </c>
      <c r="J130" s="26">
        <f t="shared" si="18"/>
        <v>7.1000000000000014</v>
      </c>
      <c r="K130" s="21">
        <f t="shared" si="19"/>
        <v>33.794793000000006</v>
      </c>
      <c r="L130" s="27">
        <v>1.75</v>
      </c>
      <c r="M130" s="28">
        <v>5</v>
      </c>
      <c r="N130" s="29">
        <f t="shared" si="20"/>
        <v>5.7589586000000015</v>
      </c>
      <c r="O130" s="30">
        <f t="shared" si="21"/>
        <v>41.303751600000005</v>
      </c>
    </row>
    <row r="131" spans="1:15" x14ac:dyDescent="0.3">
      <c r="A131" s="31"/>
      <c r="B131" s="20">
        <v>0.1875</v>
      </c>
      <c r="C131" s="21">
        <v>41.9</v>
      </c>
      <c r="D131" s="35">
        <v>34.9</v>
      </c>
      <c r="E131" s="7">
        <v>26</v>
      </c>
      <c r="F131" s="11">
        <f t="shared" si="30"/>
        <v>7</v>
      </c>
      <c r="G131" s="23">
        <f t="shared" si="28"/>
        <v>8.8999999999999986</v>
      </c>
      <c r="H131" s="24">
        <f t="shared" si="26"/>
        <v>44.025157232704402</v>
      </c>
      <c r="I131" s="25">
        <v>3093</v>
      </c>
      <c r="J131" s="26">
        <f t="shared" si="18"/>
        <v>7</v>
      </c>
      <c r="K131" s="21">
        <f t="shared" si="19"/>
        <v>33.12603</v>
      </c>
      <c r="L131" s="27">
        <v>1.75</v>
      </c>
      <c r="M131" s="28">
        <v>5</v>
      </c>
      <c r="N131" s="29">
        <f t="shared" si="20"/>
        <v>5.6252060000000004</v>
      </c>
      <c r="O131" s="30">
        <f t="shared" si="21"/>
        <v>40.501235999999999</v>
      </c>
    </row>
    <row r="132" spans="1:15" s="3" customFormat="1" x14ac:dyDescent="0.3">
      <c r="A132" s="34"/>
      <c r="B132" s="34"/>
      <c r="C132" s="34"/>
      <c r="D132" s="34"/>
      <c r="E132" s="34"/>
      <c r="F132" s="34"/>
      <c r="G132" s="34" t="s">
        <v>8</v>
      </c>
      <c r="H132" s="34">
        <f>AVERAGE(H120:H131)</f>
        <v>43.964055687818664</v>
      </c>
      <c r="I132" s="34"/>
      <c r="J132" s="34"/>
      <c r="K132" s="34">
        <f>AVERAGE(K120:K131)</f>
        <v>32.425698000000011</v>
      </c>
      <c r="L132" s="34"/>
      <c r="M132" s="34"/>
      <c r="N132" s="34">
        <f>AVERAGE(N120:N131)</f>
        <v>5.485139600000001</v>
      </c>
      <c r="O132" s="34">
        <f>AVERAGE(O120:O131)</f>
        <v>39.660837600000008</v>
      </c>
    </row>
    <row r="133" spans="1:15" x14ac:dyDescent="0.3">
      <c r="A133" s="19">
        <v>44541</v>
      </c>
      <c r="B133" s="20">
        <v>0.27083333333333331</v>
      </c>
      <c r="C133" s="21">
        <v>41.5</v>
      </c>
      <c r="D133" s="22">
        <v>34.799999999999997</v>
      </c>
      <c r="E133" s="7">
        <v>26</v>
      </c>
      <c r="F133" s="11">
        <f t="shared" si="30"/>
        <v>6.7000000000000028</v>
      </c>
      <c r="G133" s="23">
        <f t="shared" si="28"/>
        <v>8.7999999999999972</v>
      </c>
      <c r="H133" s="24">
        <f t="shared" si="26"/>
        <v>43.225806451612918</v>
      </c>
      <c r="I133" s="25">
        <v>3085</v>
      </c>
      <c r="J133" s="26">
        <f t="shared" ref="J133:J195" si="31">C133-D133</f>
        <v>6.7000000000000028</v>
      </c>
      <c r="K133" s="21">
        <f t="shared" ref="K133:K195" si="32">0.00085*1.8*I133*J133</f>
        <v>31.624335000000013</v>
      </c>
      <c r="L133" s="27">
        <v>1.75</v>
      </c>
      <c r="M133" s="28">
        <v>5</v>
      </c>
      <c r="N133" s="29">
        <f t="shared" ref="N133:N195" si="33">K133/M133-1</f>
        <v>5.3248670000000029</v>
      </c>
      <c r="O133" s="30">
        <f t="shared" ref="O133:O195" si="34">K133+L133+N133</f>
        <v>38.699202000000021</v>
      </c>
    </row>
    <row r="134" spans="1:15" x14ac:dyDescent="0.3">
      <c r="A134" s="31"/>
      <c r="B134" s="20">
        <v>0.35416666666666669</v>
      </c>
      <c r="C134" s="21">
        <v>41.6</v>
      </c>
      <c r="D134" s="22">
        <v>34.700000000000003</v>
      </c>
      <c r="E134" s="7">
        <v>26</v>
      </c>
      <c r="F134" s="11">
        <f t="shared" si="30"/>
        <v>6.8999999999999986</v>
      </c>
      <c r="G134" s="23">
        <f t="shared" si="28"/>
        <v>8.7000000000000028</v>
      </c>
      <c r="H134" s="24">
        <f t="shared" si="26"/>
        <v>44.230769230769219</v>
      </c>
      <c r="I134" s="25">
        <v>3092</v>
      </c>
      <c r="J134" s="26">
        <f t="shared" si="31"/>
        <v>6.8999999999999986</v>
      </c>
      <c r="K134" s="21">
        <f t="shared" si="32"/>
        <v>32.642243999999991</v>
      </c>
      <c r="L134" s="27">
        <v>1.75</v>
      </c>
      <c r="M134" s="28">
        <v>5</v>
      </c>
      <c r="N134" s="29">
        <f t="shared" si="33"/>
        <v>5.5284487999999978</v>
      </c>
      <c r="O134" s="30">
        <f t="shared" si="34"/>
        <v>39.920692799999991</v>
      </c>
    </row>
    <row r="135" spans="1:15" x14ac:dyDescent="0.3">
      <c r="A135" s="31"/>
      <c r="B135" s="20">
        <v>0.4375</v>
      </c>
      <c r="C135" s="21">
        <v>42.3</v>
      </c>
      <c r="D135" s="22">
        <v>35.299999999999997</v>
      </c>
      <c r="E135" s="7">
        <v>26</v>
      </c>
      <c r="F135" s="11">
        <f t="shared" si="30"/>
        <v>7</v>
      </c>
      <c r="G135" s="23">
        <f t="shared" si="28"/>
        <v>9.2999999999999972</v>
      </c>
      <c r="H135" s="24">
        <f t="shared" si="26"/>
        <v>42.944785276073624</v>
      </c>
      <c r="I135" s="25">
        <v>3089</v>
      </c>
      <c r="J135" s="26">
        <f t="shared" si="31"/>
        <v>7</v>
      </c>
      <c r="K135" s="21">
        <f t="shared" si="32"/>
        <v>33.083190000000002</v>
      </c>
      <c r="L135" s="27">
        <v>1.75</v>
      </c>
      <c r="M135" s="28">
        <v>5</v>
      </c>
      <c r="N135" s="29">
        <f t="shared" si="33"/>
        <v>5.616638</v>
      </c>
      <c r="O135" s="30">
        <f t="shared" si="34"/>
        <v>40.449828000000004</v>
      </c>
    </row>
    <row r="136" spans="1:15" x14ac:dyDescent="0.3">
      <c r="A136" s="31"/>
      <c r="B136" s="20">
        <v>0.52083333333333337</v>
      </c>
      <c r="C136" s="21">
        <v>42.5</v>
      </c>
      <c r="D136" s="22">
        <v>35.6</v>
      </c>
      <c r="E136" s="7">
        <v>26</v>
      </c>
      <c r="F136" s="11">
        <f t="shared" si="30"/>
        <v>6.8999999999999986</v>
      </c>
      <c r="G136" s="23">
        <f t="shared" si="28"/>
        <v>9.6000000000000014</v>
      </c>
      <c r="H136" s="24">
        <f t="shared" si="26"/>
        <v>41.818181818181813</v>
      </c>
      <c r="I136" s="25">
        <v>3049</v>
      </c>
      <c r="J136" s="26">
        <f t="shared" si="31"/>
        <v>6.8999999999999986</v>
      </c>
      <c r="K136" s="21">
        <f t="shared" si="32"/>
        <v>32.188292999999987</v>
      </c>
      <c r="L136" s="27">
        <v>1.75</v>
      </c>
      <c r="M136" s="28">
        <v>5</v>
      </c>
      <c r="N136" s="29">
        <f t="shared" si="33"/>
        <v>5.4376585999999971</v>
      </c>
      <c r="O136" s="30">
        <f t="shared" si="34"/>
        <v>39.375951599999986</v>
      </c>
    </row>
    <row r="137" spans="1:15" x14ac:dyDescent="0.3">
      <c r="A137" s="31"/>
      <c r="B137" s="20">
        <v>0.60416666666666663</v>
      </c>
      <c r="C137" s="21">
        <v>42.6</v>
      </c>
      <c r="D137" s="22">
        <v>35.5</v>
      </c>
      <c r="E137" s="7">
        <v>26</v>
      </c>
      <c r="F137" s="11">
        <f t="shared" si="30"/>
        <v>7.1000000000000014</v>
      </c>
      <c r="G137" s="23">
        <f t="shared" si="28"/>
        <v>9.5</v>
      </c>
      <c r="H137" s="24">
        <f t="shared" si="26"/>
        <v>42.7710843373494</v>
      </c>
      <c r="I137" s="25">
        <v>3087</v>
      </c>
      <c r="J137" s="26">
        <f t="shared" si="31"/>
        <v>7.1000000000000014</v>
      </c>
      <c r="K137" s="21">
        <f t="shared" si="32"/>
        <v>33.534081</v>
      </c>
      <c r="L137" s="27">
        <v>1.75</v>
      </c>
      <c r="M137" s="28">
        <v>5</v>
      </c>
      <c r="N137" s="29">
        <f t="shared" si="33"/>
        <v>5.7068162000000004</v>
      </c>
      <c r="O137" s="30">
        <f t="shared" si="34"/>
        <v>40.990897199999999</v>
      </c>
    </row>
    <row r="138" spans="1:15" x14ac:dyDescent="0.3">
      <c r="A138" s="31"/>
      <c r="B138" s="20">
        <v>0.6875</v>
      </c>
      <c r="C138" s="21">
        <v>42.8</v>
      </c>
      <c r="D138" s="22">
        <v>35.6</v>
      </c>
      <c r="E138" s="7">
        <v>26</v>
      </c>
      <c r="F138" s="11">
        <f t="shared" si="30"/>
        <v>7.1999999999999957</v>
      </c>
      <c r="G138" s="23">
        <f t="shared" si="28"/>
        <v>9.6000000000000014</v>
      </c>
      <c r="H138" s="24">
        <f t="shared" si="26"/>
        <v>42.85714285714284</v>
      </c>
      <c r="I138" s="25">
        <v>3150</v>
      </c>
      <c r="J138" s="26">
        <f t="shared" si="31"/>
        <v>7.1999999999999957</v>
      </c>
      <c r="K138" s="21">
        <f t="shared" si="32"/>
        <v>34.700399999999981</v>
      </c>
      <c r="L138" s="27">
        <v>1.75</v>
      </c>
      <c r="M138" s="28">
        <v>5</v>
      </c>
      <c r="N138" s="29">
        <f t="shared" si="33"/>
        <v>5.9400799999999965</v>
      </c>
      <c r="O138" s="30">
        <f t="shared" si="34"/>
        <v>42.390479999999975</v>
      </c>
    </row>
    <row r="139" spans="1:15" x14ac:dyDescent="0.3">
      <c r="A139" s="31"/>
      <c r="B139" s="20">
        <v>0.77083333333333337</v>
      </c>
      <c r="C139" s="21">
        <v>43.1</v>
      </c>
      <c r="D139" s="22">
        <v>35.799999999999997</v>
      </c>
      <c r="E139" s="7">
        <v>26</v>
      </c>
      <c r="F139" s="11">
        <f t="shared" si="30"/>
        <v>7.3000000000000043</v>
      </c>
      <c r="G139" s="23">
        <f t="shared" si="28"/>
        <v>9.7999999999999972</v>
      </c>
      <c r="H139" s="24">
        <f t="shared" si="26"/>
        <v>42.690058479532183</v>
      </c>
      <c r="I139" s="25">
        <v>2951</v>
      </c>
      <c r="J139" s="26">
        <f t="shared" si="31"/>
        <v>7.3000000000000043</v>
      </c>
      <c r="K139" s="21">
        <f t="shared" si="32"/>
        <v>32.959719000000014</v>
      </c>
      <c r="L139" s="27">
        <v>1.75</v>
      </c>
      <c r="M139" s="28">
        <v>5</v>
      </c>
      <c r="N139" s="29">
        <f t="shared" si="33"/>
        <v>5.5919438000000028</v>
      </c>
      <c r="O139" s="30">
        <f t="shared" si="34"/>
        <v>40.301662800000017</v>
      </c>
    </row>
    <row r="140" spans="1:15" x14ac:dyDescent="0.3">
      <c r="A140" s="31"/>
      <c r="B140" s="20">
        <v>0.85416666666666663</v>
      </c>
      <c r="C140" s="32">
        <v>43</v>
      </c>
      <c r="D140" s="22">
        <v>35.700000000000003</v>
      </c>
      <c r="E140" s="7">
        <v>26</v>
      </c>
      <c r="F140" s="11">
        <f t="shared" si="30"/>
        <v>7.2999999999999972</v>
      </c>
      <c r="G140" s="23">
        <f t="shared" si="28"/>
        <v>9.7000000000000028</v>
      </c>
      <c r="H140" s="24">
        <f t="shared" si="26"/>
        <v>42.941176470588218</v>
      </c>
      <c r="I140" s="25">
        <v>3028</v>
      </c>
      <c r="J140" s="26">
        <f t="shared" si="31"/>
        <v>7.2999999999999972</v>
      </c>
      <c r="K140" s="21">
        <f t="shared" si="32"/>
        <v>33.819731999999988</v>
      </c>
      <c r="L140" s="27">
        <v>1.75</v>
      </c>
      <c r="M140" s="28">
        <v>5</v>
      </c>
      <c r="N140" s="29">
        <f t="shared" si="33"/>
        <v>5.7639463999999974</v>
      </c>
      <c r="O140" s="30">
        <f t="shared" si="34"/>
        <v>41.333678399999982</v>
      </c>
    </row>
    <row r="141" spans="1:15" x14ac:dyDescent="0.3">
      <c r="A141" s="31"/>
      <c r="B141" s="20">
        <v>0.9375</v>
      </c>
      <c r="C141" s="21">
        <v>43</v>
      </c>
      <c r="D141" s="22">
        <v>35.799999999999997</v>
      </c>
      <c r="E141" s="7">
        <v>26</v>
      </c>
      <c r="F141" s="11">
        <f t="shared" si="30"/>
        <v>7.2000000000000028</v>
      </c>
      <c r="G141" s="23">
        <f t="shared" si="28"/>
        <v>9.7999999999999972</v>
      </c>
      <c r="H141" s="24">
        <f t="shared" si="26"/>
        <v>42.352941176470601</v>
      </c>
      <c r="I141" s="25">
        <v>2968</v>
      </c>
      <c r="J141" s="26">
        <f t="shared" si="31"/>
        <v>7.2000000000000028</v>
      </c>
      <c r="K141" s="21">
        <f t="shared" si="32"/>
        <v>32.695488000000012</v>
      </c>
      <c r="L141" s="27">
        <v>1.75</v>
      </c>
      <c r="M141" s="28">
        <v>5</v>
      </c>
      <c r="N141" s="29">
        <f t="shared" si="33"/>
        <v>5.5390976000000025</v>
      </c>
      <c r="O141" s="30">
        <f t="shared" si="34"/>
        <v>39.984585600000017</v>
      </c>
    </row>
    <row r="142" spans="1:15" x14ac:dyDescent="0.3">
      <c r="A142" s="31"/>
      <c r="B142" s="20">
        <v>2.0833333333333332E-2</v>
      </c>
      <c r="C142" s="21">
        <v>42.6</v>
      </c>
      <c r="D142" s="22">
        <v>35.299999999999997</v>
      </c>
      <c r="E142" s="7">
        <v>26</v>
      </c>
      <c r="F142" s="11">
        <f t="shared" si="30"/>
        <v>7.3000000000000043</v>
      </c>
      <c r="G142" s="23">
        <f t="shared" si="28"/>
        <v>9.2999999999999972</v>
      </c>
      <c r="H142" s="24">
        <f t="shared" si="26"/>
        <v>43.975903614457849</v>
      </c>
      <c r="I142" s="25">
        <v>2979</v>
      </c>
      <c r="J142" s="26">
        <f t="shared" si="31"/>
        <v>7.3000000000000043</v>
      </c>
      <c r="K142" s="21">
        <f t="shared" si="32"/>
        <v>33.272451000000018</v>
      </c>
      <c r="L142" s="27">
        <v>1.75</v>
      </c>
      <c r="M142" s="28">
        <v>5</v>
      </c>
      <c r="N142" s="29">
        <f t="shared" si="33"/>
        <v>5.6544902000000032</v>
      </c>
      <c r="O142" s="30">
        <f t="shared" si="34"/>
        <v>40.676941200000023</v>
      </c>
    </row>
    <row r="143" spans="1:15" x14ac:dyDescent="0.3">
      <c r="A143" s="31"/>
      <c r="B143" s="20">
        <v>0.10416666666666667</v>
      </c>
      <c r="C143" s="21">
        <v>42.9</v>
      </c>
      <c r="D143" s="22">
        <v>35.4</v>
      </c>
      <c r="E143" s="7">
        <v>26</v>
      </c>
      <c r="F143" s="11">
        <f t="shared" si="30"/>
        <v>7.5</v>
      </c>
      <c r="G143" s="23">
        <f t="shared" si="28"/>
        <v>9.3999999999999986</v>
      </c>
      <c r="H143" s="24">
        <f t="shared" si="26"/>
        <v>44.378698224852073</v>
      </c>
      <c r="I143" s="25">
        <v>3014</v>
      </c>
      <c r="J143" s="26">
        <f t="shared" si="31"/>
        <v>7.5</v>
      </c>
      <c r="K143" s="21">
        <f t="shared" si="32"/>
        <v>34.585650000000001</v>
      </c>
      <c r="L143" s="27">
        <v>1.75</v>
      </c>
      <c r="M143" s="28">
        <v>5</v>
      </c>
      <c r="N143" s="29">
        <f t="shared" si="33"/>
        <v>5.9171300000000002</v>
      </c>
      <c r="O143" s="30">
        <f t="shared" si="34"/>
        <v>42.252780000000001</v>
      </c>
    </row>
    <row r="144" spans="1:15" x14ac:dyDescent="0.3">
      <c r="A144" s="31"/>
      <c r="B144" s="20">
        <v>0.1875</v>
      </c>
      <c r="C144" s="21">
        <v>42.8</v>
      </c>
      <c r="D144" s="35">
        <v>35.4</v>
      </c>
      <c r="E144" s="7">
        <v>26</v>
      </c>
      <c r="F144" s="11">
        <f t="shared" si="30"/>
        <v>7.3999999999999986</v>
      </c>
      <c r="G144" s="23">
        <f t="shared" si="28"/>
        <v>9.3999999999999986</v>
      </c>
      <c r="H144" s="24">
        <f t="shared" si="26"/>
        <v>44.047619047619044</v>
      </c>
      <c r="I144" s="25">
        <v>3045</v>
      </c>
      <c r="J144" s="26">
        <f t="shared" si="31"/>
        <v>7.3999999999999986</v>
      </c>
      <c r="K144" s="21">
        <f t="shared" si="32"/>
        <v>34.475489999999986</v>
      </c>
      <c r="L144" s="27">
        <v>1.75</v>
      </c>
      <c r="M144" s="28">
        <v>5</v>
      </c>
      <c r="N144" s="29">
        <f t="shared" si="33"/>
        <v>5.8950979999999973</v>
      </c>
      <c r="O144" s="30">
        <f t="shared" si="34"/>
        <v>42.120587999999984</v>
      </c>
    </row>
    <row r="145" spans="1:15" s="3" customFormat="1" x14ac:dyDescent="0.3">
      <c r="A145" s="34"/>
      <c r="B145" s="34"/>
      <c r="C145" s="34"/>
      <c r="D145" s="34"/>
      <c r="E145" s="34"/>
      <c r="F145" s="34"/>
      <c r="G145" s="34" t="s">
        <v>8</v>
      </c>
      <c r="H145" s="34">
        <f>AVERAGE(H133:H144)</f>
        <v>43.186180582054156</v>
      </c>
      <c r="I145" s="34"/>
      <c r="J145" s="34"/>
      <c r="K145" s="34">
        <f>AVERAGE(K133:K144)</f>
        <v>33.298422749999993</v>
      </c>
      <c r="L145" s="34"/>
      <c r="M145" s="34"/>
      <c r="N145" s="34">
        <f>AVERAGE(N133:N144)</f>
        <v>5.6596845499999988</v>
      </c>
      <c r="O145" s="34">
        <f>AVERAGE(O133:O144)</f>
        <v>40.708107300000002</v>
      </c>
    </row>
    <row r="146" spans="1:15" x14ac:dyDescent="0.3">
      <c r="A146" s="19">
        <v>44542</v>
      </c>
      <c r="B146" s="20">
        <v>0.27083333333333331</v>
      </c>
      <c r="C146" s="21">
        <v>42.3</v>
      </c>
      <c r="D146" s="22">
        <v>34.700000000000003</v>
      </c>
      <c r="E146" s="7">
        <v>26</v>
      </c>
      <c r="F146" s="11">
        <f t="shared" si="30"/>
        <v>7.5999999999999943</v>
      </c>
      <c r="G146" s="23">
        <f t="shared" si="28"/>
        <v>8.7000000000000028</v>
      </c>
      <c r="H146" s="24">
        <f t="shared" si="26"/>
        <v>46.625766871165617</v>
      </c>
      <c r="I146" s="25">
        <v>2978</v>
      </c>
      <c r="J146" s="26">
        <f t="shared" si="31"/>
        <v>7.5999999999999943</v>
      </c>
      <c r="K146" s="21">
        <f t="shared" si="32"/>
        <v>34.628183999999969</v>
      </c>
      <c r="L146" s="27">
        <v>1.75</v>
      </c>
      <c r="M146" s="28">
        <v>5</v>
      </c>
      <c r="N146" s="29">
        <f t="shared" si="33"/>
        <v>5.9256367999999942</v>
      </c>
      <c r="O146" s="30">
        <f t="shared" si="34"/>
        <v>42.303820799999961</v>
      </c>
    </row>
    <row r="147" spans="1:15" x14ac:dyDescent="0.3">
      <c r="A147" s="31"/>
      <c r="B147" s="20">
        <v>0.35416666666666669</v>
      </c>
      <c r="C147" s="21">
        <v>41.1</v>
      </c>
      <c r="D147" s="22">
        <v>34.200000000000003</v>
      </c>
      <c r="E147" s="7">
        <v>26</v>
      </c>
      <c r="F147" s="11">
        <f t="shared" si="30"/>
        <v>6.8999999999999986</v>
      </c>
      <c r="G147" s="23">
        <f t="shared" si="28"/>
        <v>8.2000000000000028</v>
      </c>
      <c r="H147" s="24">
        <f t="shared" si="26"/>
        <v>45.695364238410576</v>
      </c>
      <c r="I147" s="25">
        <v>3058</v>
      </c>
      <c r="J147" s="26">
        <f t="shared" si="31"/>
        <v>6.8999999999999986</v>
      </c>
      <c r="K147" s="21">
        <f t="shared" si="32"/>
        <v>32.283305999999989</v>
      </c>
      <c r="L147" s="27">
        <v>1.75</v>
      </c>
      <c r="M147" s="28">
        <v>5</v>
      </c>
      <c r="N147" s="29">
        <f t="shared" si="33"/>
        <v>5.4566611999999974</v>
      </c>
      <c r="O147" s="30">
        <f t="shared" si="34"/>
        <v>39.489967199999988</v>
      </c>
    </row>
    <row r="148" spans="1:15" x14ac:dyDescent="0.3">
      <c r="A148" s="31"/>
      <c r="B148" s="20">
        <v>0.4375</v>
      </c>
      <c r="C148" s="21"/>
      <c r="D148" s="22"/>
      <c r="E148" s="7"/>
      <c r="F148" s="11"/>
      <c r="G148" s="23"/>
      <c r="H148" s="24"/>
      <c r="I148" s="25"/>
      <c r="J148" s="26"/>
      <c r="K148" s="21"/>
      <c r="L148" s="27">
        <v>1.75</v>
      </c>
      <c r="M148" s="28">
        <v>5</v>
      </c>
      <c r="N148" s="29">
        <f t="shared" si="33"/>
        <v>-1</v>
      </c>
      <c r="O148" s="30">
        <f t="shared" si="34"/>
        <v>0.75</v>
      </c>
    </row>
    <row r="149" spans="1:15" x14ac:dyDescent="0.3">
      <c r="A149" s="31"/>
      <c r="B149" s="20">
        <v>0.52083333333333337</v>
      </c>
      <c r="C149" s="21">
        <v>40.700000000000003</v>
      </c>
      <c r="D149" s="22">
        <v>34.1</v>
      </c>
      <c r="E149" s="7">
        <v>26</v>
      </c>
      <c r="F149" s="11">
        <f t="shared" si="30"/>
        <v>6.6000000000000014</v>
      </c>
      <c r="G149" s="23">
        <f t="shared" si="28"/>
        <v>8.1000000000000014</v>
      </c>
      <c r="H149" s="24">
        <f t="shared" si="26"/>
        <v>44.897959183673471</v>
      </c>
      <c r="I149" s="25">
        <v>2912</v>
      </c>
      <c r="J149" s="26">
        <f t="shared" si="31"/>
        <v>6.6000000000000014</v>
      </c>
      <c r="K149" s="21">
        <f t="shared" si="32"/>
        <v>29.405376000000004</v>
      </c>
      <c r="L149" s="27">
        <v>1.75</v>
      </c>
      <c r="M149" s="28">
        <v>5</v>
      </c>
      <c r="N149" s="29">
        <f t="shared" si="33"/>
        <v>4.8810752000000006</v>
      </c>
      <c r="O149" s="30">
        <f t="shared" si="34"/>
        <v>36.036451200000002</v>
      </c>
    </row>
    <row r="150" spans="1:15" x14ac:dyDescent="0.3">
      <c r="A150" s="31"/>
      <c r="B150" s="20">
        <v>0.60416666666666663</v>
      </c>
      <c r="C150" s="21">
        <v>41</v>
      </c>
      <c r="D150" s="22">
        <v>34.5</v>
      </c>
      <c r="E150" s="7">
        <v>26</v>
      </c>
      <c r="F150" s="11">
        <f t="shared" si="30"/>
        <v>6.5</v>
      </c>
      <c r="G150" s="23">
        <f t="shared" si="28"/>
        <v>8.5</v>
      </c>
      <c r="H150" s="24">
        <f t="shared" si="26"/>
        <v>43.333333333333336</v>
      </c>
      <c r="I150" s="25">
        <v>3128</v>
      </c>
      <c r="J150" s="26">
        <f t="shared" si="31"/>
        <v>6.5</v>
      </c>
      <c r="K150" s="21">
        <f t="shared" si="32"/>
        <v>31.107959999999995</v>
      </c>
      <c r="L150" s="27">
        <v>1.75</v>
      </c>
      <c r="M150" s="28">
        <v>5</v>
      </c>
      <c r="N150" s="29">
        <f t="shared" si="33"/>
        <v>5.2215919999999993</v>
      </c>
      <c r="O150" s="30">
        <f t="shared" si="34"/>
        <v>38.079551999999993</v>
      </c>
    </row>
    <row r="151" spans="1:15" x14ac:dyDescent="0.3">
      <c r="A151" s="31"/>
      <c r="B151" s="20">
        <v>0.6875</v>
      </c>
      <c r="C151" s="21">
        <v>41.3</v>
      </c>
      <c r="D151" s="22">
        <v>34.6</v>
      </c>
      <c r="E151" s="7">
        <v>26</v>
      </c>
      <c r="F151" s="11">
        <f t="shared" si="30"/>
        <v>6.6999999999999957</v>
      </c>
      <c r="G151" s="23">
        <f t="shared" si="28"/>
        <v>8.6000000000000014</v>
      </c>
      <c r="H151" s="24">
        <f t="shared" si="26"/>
        <v>43.790849673202594</v>
      </c>
      <c r="I151" s="25">
        <v>3020</v>
      </c>
      <c r="J151" s="26">
        <f t="shared" si="31"/>
        <v>6.6999999999999957</v>
      </c>
      <c r="K151" s="21">
        <f t="shared" si="32"/>
        <v>30.958019999999976</v>
      </c>
      <c r="L151" s="27">
        <v>1.75</v>
      </c>
      <c r="M151" s="28">
        <v>5</v>
      </c>
      <c r="N151" s="29">
        <f t="shared" si="33"/>
        <v>5.1916039999999954</v>
      </c>
      <c r="O151" s="30">
        <f t="shared" si="34"/>
        <v>37.899623999999974</v>
      </c>
    </row>
    <row r="152" spans="1:15" x14ac:dyDescent="0.3">
      <c r="A152" s="31"/>
      <c r="B152" s="20">
        <v>0.77083333333333337</v>
      </c>
      <c r="C152" s="21">
        <v>41.1</v>
      </c>
      <c r="D152" s="22">
        <v>34.4</v>
      </c>
      <c r="E152" s="7">
        <v>26</v>
      </c>
      <c r="F152" s="11">
        <f t="shared" si="30"/>
        <v>6.7000000000000028</v>
      </c>
      <c r="G152" s="23">
        <f t="shared" si="28"/>
        <v>8.3999999999999986</v>
      </c>
      <c r="H152" s="24">
        <f t="shared" si="26"/>
        <v>44.370860927152336</v>
      </c>
      <c r="I152" s="25">
        <v>2972</v>
      </c>
      <c r="J152" s="26">
        <f t="shared" si="31"/>
        <v>6.7000000000000028</v>
      </c>
      <c r="K152" s="21">
        <f t="shared" si="32"/>
        <v>30.465972000000011</v>
      </c>
      <c r="L152" s="27">
        <v>1.75</v>
      </c>
      <c r="M152" s="28">
        <v>5</v>
      </c>
      <c r="N152" s="29">
        <f t="shared" si="33"/>
        <v>5.0931944000000025</v>
      </c>
      <c r="O152" s="30">
        <f t="shared" si="34"/>
        <v>37.309166400000009</v>
      </c>
    </row>
    <row r="153" spans="1:15" x14ac:dyDescent="0.3">
      <c r="A153" s="31"/>
      <c r="B153" s="20">
        <v>0.85416666666666663</v>
      </c>
      <c r="C153" s="32">
        <v>41</v>
      </c>
      <c r="D153" s="22">
        <v>34.5</v>
      </c>
      <c r="E153" s="7">
        <v>26</v>
      </c>
      <c r="F153" s="11">
        <f t="shared" si="30"/>
        <v>6.5</v>
      </c>
      <c r="G153" s="23">
        <f t="shared" si="28"/>
        <v>8.5</v>
      </c>
      <c r="H153" s="24">
        <f t="shared" si="26"/>
        <v>43.333333333333336</v>
      </c>
      <c r="I153" s="25">
        <v>3120</v>
      </c>
      <c r="J153" s="26">
        <f t="shared" si="31"/>
        <v>6.5</v>
      </c>
      <c r="K153" s="21">
        <f t="shared" si="32"/>
        <v>31.028400000000001</v>
      </c>
      <c r="L153" s="27">
        <v>1.75</v>
      </c>
      <c r="M153" s="28">
        <v>5</v>
      </c>
      <c r="N153" s="29">
        <f t="shared" si="33"/>
        <v>5.2056800000000001</v>
      </c>
      <c r="O153" s="30">
        <f t="shared" si="34"/>
        <v>37.984080000000006</v>
      </c>
    </row>
    <row r="154" spans="1:15" x14ac:dyDescent="0.3">
      <c r="A154" s="31"/>
      <c r="B154" s="20">
        <v>0.9375</v>
      </c>
      <c r="C154" s="21">
        <v>40.799999999999997</v>
      </c>
      <c r="D154" s="22">
        <v>34.1</v>
      </c>
      <c r="E154" s="7">
        <v>26</v>
      </c>
      <c r="F154" s="11">
        <f t="shared" si="30"/>
        <v>6.6999999999999957</v>
      </c>
      <c r="G154" s="23">
        <f t="shared" si="28"/>
        <v>8.1000000000000014</v>
      </c>
      <c r="H154" s="24">
        <f t="shared" si="26"/>
        <v>45.270270270270252</v>
      </c>
      <c r="I154" s="25">
        <v>3079</v>
      </c>
      <c r="J154" s="26">
        <f t="shared" si="31"/>
        <v>6.6999999999999957</v>
      </c>
      <c r="K154" s="21">
        <f t="shared" si="32"/>
        <v>31.562828999999979</v>
      </c>
      <c r="L154" s="27">
        <v>1.75</v>
      </c>
      <c r="M154" s="28">
        <v>5</v>
      </c>
      <c r="N154" s="29">
        <f t="shared" si="33"/>
        <v>5.3125657999999962</v>
      </c>
      <c r="O154" s="30">
        <f t="shared" si="34"/>
        <v>38.625394799999974</v>
      </c>
    </row>
    <row r="155" spans="1:15" x14ac:dyDescent="0.3">
      <c r="A155" s="31"/>
      <c r="B155" s="20">
        <v>2.0833333333333332E-2</v>
      </c>
      <c r="C155" s="21">
        <v>40.799999999999997</v>
      </c>
      <c r="D155" s="22">
        <v>34.200000000000003</v>
      </c>
      <c r="E155" s="7">
        <v>26</v>
      </c>
      <c r="F155" s="11">
        <f t="shared" si="30"/>
        <v>6.5999999999999943</v>
      </c>
      <c r="G155" s="23">
        <f t="shared" si="28"/>
        <v>8.2000000000000028</v>
      </c>
      <c r="H155" s="24">
        <f t="shared" si="26"/>
        <v>44.594594594594568</v>
      </c>
      <c r="I155" s="25">
        <v>3061</v>
      </c>
      <c r="J155" s="26">
        <f t="shared" si="31"/>
        <v>6.5999999999999943</v>
      </c>
      <c r="K155" s="21">
        <f t="shared" si="32"/>
        <v>30.90997799999997</v>
      </c>
      <c r="L155" s="27">
        <v>1.75</v>
      </c>
      <c r="M155" s="28">
        <v>5</v>
      </c>
      <c r="N155" s="29">
        <f t="shared" si="33"/>
        <v>5.1819955999999943</v>
      </c>
      <c r="O155" s="30">
        <f t="shared" si="34"/>
        <v>37.84197359999996</v>
      </c>
    </row>
    <row r="156" spans="1:15" x14ac:dyDescent="0.3">
      <c r="A156" s="31"/>
      <c r="B156" s="20">
        <v>0.10416666666666667</v>
      </c>
      <c r="C156" s="21">
        <v>41.3</v>
      </c>
      <c r="D156" s="22">
        <v>34.200000000000003</v>
      </c>
      <c r="E156" s="7">
        <v>26</v>
      </c>
      <c r="F156" s="11">
        <f t="shared" si="30"/>
        <v>7.0999999999999943</v>
      </c>
      <c r="G156" s="23">
        <f t="shared" si="28"/>
        <v>8.2000000000000028</v>
      </c>
      <c r="H156" s="24">
        <f t="shared" si="26"/>
        <v>46.405228758169912</v>
      </c>
      <c r="I156" s="25">
        <v>3061</v>
      </c>
      <c r="J156" s="26">
        <f t="shared" si="31"/>
        <v>7.0999999999999943</v>
      </c>
      <c r="K156" s="21">
        <f t="shared" si="32"/>
        <v>33.251642999999973</v>
      </c>
      <c r="L156" s="27">
        <v>1.75</v>
      </c>
      <c r="M156" s="28">
        <v>5</v>
      </c>
      <c r="N156" s="29">
        <f t="shared" si="33"/>
        <v>5.6503285999999946</v>
      </c>
      <c r="O156" s="30">
        <f t="shared" si="34"/>
        <v>40.651971599999968</v>
      </c>
    </row>
    <row r="157" spans="1:15" x14ac:dyDescent="0.3">
      <c r="A157" s="31"/>
      <c r="B157" s="20">
        <v>0.1875</v>
      </c>
      <c r="C157" s="21">
        <v>41.2</v>
      </c>
      <c r="D157" s="35">
        <v>34</v>
      </c>
      <c r="E157" s="7">
        <v>26</v>
      </c>
      <c r="F157" s="11">
        <f t="shared" si="30"/>
        <v>7.2000000000000028</v>
      </c>
      <c r="G157" s="23">
        <f t="shared" si="28"/>
        <v>8</v>
      </c>
      <c r="H157" s="24">
        <f t="shared" si="26"/>
        <v>47.368421052631589</v>
      </c>
      <c r="I157" s="25">
        <v>2994</v>
      </c>
      <c r="J157" s="26">
        <f t="shared" si="31"/>
        <v>7.2000000000000028</v>
      </c>
      <c r="K157" s="21">
        <f t="shared" si="32"/>
        <v>32.981904000000014</v>
      </c>
      <c r="L157" s="27">
        <v>1.75</v>
      </c>
      <c r="M157" s="28">
        <v>5</v>
      </c>
      <c r="N157" s="29">
        <f t="shared" si="33"/>
        <v>5.596380800000003</v>
      </c>
      <c r="O157" s="30">
        <f t="shared" si="34"/>
        <v>40.32828480000002</v>
      </c>
    </row>
    <row r="158" spans="1:15" s="3" customFormat="1" x14ac:dyDescent="0.3">
      <c r="A158" s="34"/>
      <c r="B158" s="34"/>
      <c r="C158" s="34"/>
      <c r="D158" s="34"/>
      <c r="E158" s="34"/>
      <c r="F158" s="34"/>
      <c r="G158" s="34" t="s">
        <v>8</v>
      </c>
      <c r="H158" s="34">
        <f>AVERAGE(H146:H157)</f>
        <v>45.06236202144887</v>
      </c>
      <c r="I158" s="34"/>
      <c r="J158" s="34"/>
      <c r="K158" s="34">
        <f>AVERAGE(K146:K157)</f>
        <v>31.689415636363627</v>
      </c>
      <c r="L158" s="34"/>
      <c r="M158" s="34"/>
      <c r="N158" s="34">
        <f>AVERAGE(N146:N157)</f>
        <v>4.8097261999999974</v>
      </c>
      <c r="O158" s="34">
        <f>AVERAGE(O146:O157)</f>
        <v>35.608357199999986</v>
      </c>
    </row>
    <row r="159" spans="1:15" x14ac:dyDescent="0.3">
      <c r="A159" s="19">
        <v>44543</v>
      </c>
      <c r="B159" s="20">
        <v>0.27083333333333331</v>
      </c>
      <c r="C159" s="21">
        <v>41.1</v>
      </c>
      <c r="D159" s="22">
        <v>34</v>
      </c>
      <c r="E159" s="7">
        <v>26</v>
      </c>
      <c r="F159" s="11">
        <f t="shared" si="30"/>
        <v>7.1000000000000014</v>
      </c>
      <c r="G159" s="23">
        <f t="shared" si="28"/>
        <v>8</v>
      </c>
      <c r="H159" s="24">
        <f t="shared" ref="H159:H176" si="35">(F159/(F159+G159))*100</f>
        <v>47.019867549668881</v>
      </c>
      <c r="I159" s="25">
        <v>2981</v>
      </c>
      <c r="J159" s="26">
        <f t="shared" si="31"/>
        <v>7.1000000000000014</v>
      </c>
      <c r="K159" s="21">
        <f t="shared" si="32"/>
        <v>32.382603000000003</v>
      </c>
      <c r="L159" s="27">
        <v>1.75</v>
      </c>
      <c r="M159" s="28">
        <v>5</v>
      </c>
      <c r="N159" s="29">
        <f t="shared" si="33"/>
        <v>5.4765206000000006</v>
      </c>
      <c r="O159" s="30">
        <f t="shared" si="34"/>
        <v>39.609123600000004</v>
      </c>
    </row>
    <row r="160" spans="1:15" x14ac:dyDescent="0.3">
      <c r="A160" s="31"/>
      <c r="B160" s="20">
        <v>0.35416666666666669</v>
      </c>
      <c r="C160" s="21">
        <v>41</v>
      </c>
      <c r="D160" s="22">
        <v>33</v>
      </c>
      <c r="E160" s="7">
        <v>26</v>
      </c>
      <c r="F160" s="11">
        <f t="shared" si="30"/>
        <v>8</v>
      </c>
      <c r="G160" s="23">
        <f t="shared" si="30"/>
        <v>7</v>
      </c>
      <c r="H160" s="24">
        <f t="shared" si="35"/>
        <v>53.333333333333336</v>
      </c>
      <c r="I160" s="25">
        <v>2981</v>
      </c>
      <c r="J160" s="26">
        <f t="shared" si="31"/>
        <v>8</v>
      </c>
      <c r="K160" s="21">
        <f t="shared" si="32"/>
        <v>36.487439999999999</v>
      </c>
      <c r="L160" s="27">
        <v>1.75</v>
      </c>
      <c r="M160" s="28">
        <v>5</v>
      </c>
      <c r="N160" s="29">
        <f t="shared" si="33"/>
        <v>6.2974879999999995</v>
      </c>
      <c r="O160" s="30">
        <f t="shared" si="34"/>
        <v>44.534928000000001</v>
      </c>
    </row>
    <row r="161" spans="1:15" x14ac:dyDescent="0.3">
      <c r="A161" s="31"/>
      <c r="B161" s="20">
        <v>0.4375</v>
      </c>
      <c r="C161" s="21">
        <v>41.1</v>
      </c>
      <c r="D161" s="22">
        <v>34</v>
      </c>
      <c r="E161" s="7">
        <v>26</v>
      </c>
      <c r="F161" s="11">
        <f t="shared" si="30"/>
        <v>7.1000000000000014</v>
      </c>
      <c r="G161" s="23">
        <f t="shared" si="30"/>
        <v>8</v>
      </c>
      <c r="H161" s="24">
        <f t="shared" si="35"/>
        <v>47.019867549668881</v>
      </c>
      <c r="I161" s="25">
        <v>3110</v>
      </c>
      <c r="J161" s="26">
        <f t="shared" si="31"/>
        <v>7.1000000000000014</v>
      </c>
      <c r="K161" s="21">
        <f t="shared" si="32"/>
        <v>33.783930000000005</v>
      </c>
      <c r="L161" s="27">
        <v>1.75</v>
      </c>
      <c r="M161" s="28">
        <v>5</v>
      </c>
      <c r="N161" s="29">
        <f t="shared" si="33"/>
        <v>5.7567860000000008</v>
      </c>
      <c r="O161" s="30">
        <f t="shared" si="34"/>
        <v>41.290716000000003</v>
      </c>
    </row>
    <row r="162" spans="1:15" x14ac:dyDescent="0.3">
      <c r="A162" s="31"/>
      <c r="B162" s="20">
        <v>0.52083333333333337</v>
      </c>
      <c r="C162" s="21">
        <v>42.1</v>
      </c>
      <c r="D162" s="22">
        <v>34</v>
      </c>
      <c r="E162" s="7">
        <v>26</v>
      </c>
      <c r="F162" s="11">
        <f t="shared" si="30"/>
        <v>8.1000000000000014</v>
      </c>
      <c r="G162" s="23">
        <f t="shared" si="30"/>
        <v>8</v>
      </c>
      <c r="H162" s="24">
        <f t="shared" si="35"/>
        <v>50.310559006211186</v>
      </c>
      <c r="I162" s="25">
        <v>3061</v>
      </c>
      <c r="J162" s="26">
        <f t="shared" si="31"/>
        <v>8.1000000000000014</v>
      </c>
      <c r="K162" s="21">
        <f t="shared" si="32"/>
        <v>37.934973000000006</v>
      </c>
      <c r="L162" s="27">
        <v>1.75</v>
      </c>
      <c r="M162" s="28">
        <v>5</v>
      </c>
      <c r="N162" s="29">
        <f t="shared" si="33"/>
        <v>6.5869946000000015</v>
      </c>
      <c r="O162" s="30">
        <f t="shared" si="34"/>
        <v>46.271967600000011</v>
      </c>
    </row>
    <row r="163" spans="1:15" x14ac:dyDescent="0.3">
      <c r="A163" s="31"/>
      <c r="B163" s="20">
        <v>0.60416666666666663</v>
      </c>
      <c r="C163" s="21">
        <v>42.1</v>
      </c>
      <c r="D163" s="22">
        <v>35</v>
      </c>
      <c r="E163" s="7">
        <v>26</v>
      </c>
      <c r="F163" s="11">
        <f t="shared" si="30"/>
        <v>7.1000000000000014</v>
      </c>
      <c r="G163" s="23">
        <f t="shared" si="30"/>
        <v>9</v>
      </c>
      <c r="H163" s="24">
        <f t="shared" si="35"/>
        <v>44.099378881987583</v>
      </c>
      <c r="I163" s="25">
        <v>2996</v>
      </c>
      <c r="J163" s="26">
        <f t="shared" si="31"/>
        <v>7.1000000000000014</v>
      </c>
      <c r="K163" s="21">
        <f t="shared" si="32"/>
        <v>32.545548000000004</v>
      </c>
      <c r="L163" s="27">
        <v>1.75</v>
      </c>
      <c r="M163" s="28">
        <v>5</v>
      </c>
      <c r="N163" s="29">
        <f t="shared" si="33"/>
        <v>5.5091096000000004</v>
      </c>
      <c r="O163" s="30">
        <f t="shared" si="34"/>
        <v>39.804657600000006</v>
      </c>
    </row>
    <row r="164" spans="1:15" x14ac:dyDescent="0.3">
      <c r="A164" s="31"/>
      <c r="B164" s="20">
        <v>0.6875</v>
      </c>
      <c r="C164" s="21">
        <v>41.9</v>
      </c>
      <c r="D164" s="22">
        <v>34.700000000000003</v>
      </c>
      <c r="E164" s="7">
        <v>26</v>
      </c>
      <c r="F164" s="11">
        <f t="shared" si="30"/>
        <v>7.1999999999999957</v>
      </c>
      <c r="G164" s="23">
        <f t="shared" si="30"/>
        <v>8.7000000000000028</v>
      </c>
      <c r="H164" s="24">
        <f t="shared" si="35"/>
        <v>45.283018867924504</v>
      </c>
      <c r="I164" s="25">
        <v>3071</v>
      </c>
      <c r="J164" s="26">
        <f t="shared" si="31"/>
        <v>7.1999999999999957</v>
      </c>
      <c r="K164" s="21">
        <f t="shared" si="32"/>
        <v>33.830135999999975</v>
      </c>
      <c r="L164" s="27">
        <v>1.75</v>
      </c>
      <c r="M164" s="28">
        <v>5</v>
      </c>
      <c r="N164" s="29">
        <f t="shared" si="33"/>
        <v>5.7660271999999946</v>
      </c>
      <c r="O164" s="30">
        <f t="shared" si="34"/>
        <v>41.346163199999971</v>
      </c>
    </row>
    <row r="165" spans="1:15" x14ac:dyDescent="0.3">
      <c r="A165" s="31"/>
      <c r="B165" s="20">
        <v>0.77083333333333337</v>
      </c>
      <c r="C165" s="21">
        <v>42.1</v>
      </c>
      <c r="D165" s="22">
        <v>34.5</v>
      </c>
      <c r="E165" s="7">
        <v>26</v>
      </c>
      <c r="F165" s="11">
        <f t="shared" si="30"/>
        <v>7.6000000000000014</v>
      </c>
      <c r="G165" s="23">
        <f t="shared" si="30"/>
        <v>8.5</v>
      </c>
      <c r="H165" s="24">
        <f t="shared" si="35"/>
        <v>47.204968944099384</v>
      </c>
      <c r="I165" s="25">
        <v>3031</v>
      </c>
      <c r="J165" s="26">
        <f t="shared" si="31"/>
        <v>7.6000000000000014</v>
      </c>
      <c r="K165" s="21">
        <f t="shared" si="32"/>
        <v>35.244467999999998</v>
      </c>
      <c r="L165" s="27">
        <v>1.75</v>
      </c>
      <c r="M165" s="28">
        <v>5</v>
      </c>
      <c r="N165" s="29">
        <f t="shared" si="33"/>
        <v>6.0488935999999995</v>
      </c>
      <c r="O165" s="30">
        <f t="shared" si="34"/>
        <v>43.043361599999997</v>
      </c>
    </row>
    <row r="166" spans="1:15" x14ac:dyDescent="0.3">
      <c r="A166" s="31"/>
      <c r="B166" s="20">
        <v>0.85416666666666663</v>
      </c>
      <c r="C166" s="32">
        <v>42.1</v>
      </c>
      <c r="D166" s="22">
        <v>34.799999999999997</v>
      </c>
      <c r="E166" s="7">
        <v>26</v>
      </c>
      <c r="F166" s="11">
        <f t="shared" si="30"/>
        <v>7.3000000000000043</v>
      </c>
      <c r="G166" s="23">
        <f t="shared" si="30"/>
        <v>8.7999999999999972</v>
      </c>
      <c r="H166" s="24">
        <f t="shared" si="35"/>
        <v>45.341614906832319</v>
      </c>
      <c r="I166" s="25">
        <v>2941</v>
      </c>
      <c r="J166" s="26">
        <f t="shared" si="31"/>
        <v>7.3000000000000043</v>
      </c>
      <c r="K166" s="21">
        <f t="shared" si="32"/>
        <v>32.848029000000018</v>
      </c>
      <c r="L166" s="27">
        <v>1.75</v>
      </c>
      <c r="M166" s="28">
        <v>5</v>
      </c>
      <c r="N166" s="29">
        <f t="shared" si="33"/>
        <v>5.5696058000000033</v>
      </c>
      <c r="O166" s="30">
        <f t="shared" si="34"/>
        <v>40.167634800000023</v>
      </c>
    </row>
    <row r="167" spans="1:15" x14ac:dyDescent="0.3">
      <c r="A167" s="31"/>
      <c r="B167" s="20">
        <v>0.9375</v>
      </c>
      <c r="C167" s="21">
        <v>41.9</v>
      </c>
      <c r="D167" s="22">
        <v>34.700000000000003</v>
      </c>
      <c r="E167" s="7">
        <v>26</v>
      </c>
      <c r="F167" s="11">
        <f t="shared" si="30"/>
        <v>7.1999999999999957</v>
      </c>
      <c r="G167" s="23">
        <f t="shared" si="30"/>
        <v>8.7000000000000028</v>
      </c>
      <c r="H167" s="24">
        <f t="shared" si="35"/>
        <v>45.283018867924504</v>
      </c>
      <c r="I167" s="25">
        <v>2978</v>
      </c>
      <c r="J167" s="26">
        <f t="shared" si="31"/>
        <v>7.1999999999999957</v>
      </c>
      <c r="K167" s="21">
        <f t="shared" si="32"/>
        <v>32.805647999999977</v>
      </c>
      <c r="L167" s="27">
        <v>1.75</v>
      </c>
      <c r="M167" s="28">
        <v>5</v>
      </c>
      <c r="N167" s="29">
        <f t="shared" si="33"/>
        <v>5.5611295999999957</v>
      </c>
      <c r="O167" s="30">
        <f t="shared" si="34"/>
        <v>40.116777599999971</v>
      </c>
    </row>
    <row r="168" spans="1:15" x14ac:dyDescent="0.3">
      <c r="A168" s="31"/>
      <c r="B168" s="20">
        <v>2.0833333333333332E-2</v>
      </c>
      <c r="C168" s="21">
        <v>41.6</v>
      </c>
      <c r="D168" s="22">
        <v>34.4</v>
      </c>
      <c r="E168" s="7">
        <v>26</v>
      </c>
      <c r="F168" s="11">
        <f t="shared" si="30"/>
        <v>7.2000000000000028</v>
      </c>
      <c r="G168" s="23">
        <f t="shared" si="30"/>
        <v>8.3999999999999986</v>
      </c>
      <c r="H168" s="24">
        <f t="shared" si="35"/>
        <v>46.153846153846168</v>
      </c>
      <c r="I168" s="25">
        <v>3050</v>
      </c>
      <c r="J168" s="26">
        <f t="shared" si="31"/>
        <v>7.2000000000000028</v>
      </c>
      <c r="K168" s="21">
        <f t="shared" si="32"/>
        <v>33.598800000000011</v>
      </c>
      <c r="L168" s="27">
        <v>1.75</v>
      </c>
      <c r="M168" s="28">
        <v>5</v>
      </c>
      <c r="N168" s="29">
        <f t="shared" si="33"/>
        <v>5.7197600000000026</v>
      </c>
      <c r="O168" s="30">
        <f t="shared" si="34"/>
        <v>41.068560000000012</v>
      </c>
    </row>
    <row r="169" spans="1:15" x14ac:dyDescent="0.3">
      <c r="A169" s="31"/>
      <c r="B169" s="20">
        <v>0.10416666666666667</v>
      </c>
      <c r="C169" s="21">
        <v>41.8</v>
      </c>
      <c r="D169" s="22">
        <v>34.200000000000003</v>
      </c>
      <c r="E169" s="7">
        <v>26</v>
      </c>
      <c r="F169" s="11">
        <f t="shared" si="30"/>
        <v>7.5999999999999943</v>
      </c>
      <c r="G169" s="23">
        <f t="shared" si="30"/>
        <v>8.2000000000000028</v>
      </c>
      <c r="H169" s="24">
        <f t="shared" si="35"/>
        <v>48.101265822784782</v>
      </c>
      <c r="I169" s="25">
        <v>2985</v>
      </c>
      <c r="J169" s="26">
        <f t="shared" si="31"/>
        <v>7.5999999999999943</v>
      </c>
      <c r="K169" s="21">
        <f t="shared" si="32"/>
        <v>34.709579999999974</v>
      </c>
      <c r="L169" s="27">
        <v>1.75</v>
      </c>
      <c r="M169" s="28">
        <v>5</v>
      </c>
      <c r="N169" s="29">
        <f t="shared" si="33"/>
        <v>5.9419159999999946</v>
      </c>
      <c r="O169" s="30">
        <f t="shared" si="34"/>
        <v>42.401495999999966</v>
      </c>
    </row>
    <row r="170" spans="1:15" x14ac:dyDescent="0.3">
      <c r="A170" s="31"/>
      <c r="B170" s="20">
        <v>0.1875</v>
      </c>
      <c r="C170" s="21">
        <v>41.2</v>
      </c>
      <c r="D170" s="35">
        <v>33.799999999999997</v>
      </c>
      <c r="E170" s="7">
        <v>26</v>
      </c>
      <c r="F170" s="11">
        <f t="shared" si="30"/>
        <v>7.4000000000000057</v>
      </c>
      <c r="G170" s="23">
        <f t="shared" si="30"/>
        <v>7.7999999999999972</v>
      </c>
      <c r="H170" s="24">
        <f t="shared" si="35"/>
        <v>48.684210526315816</v>
      </c>
      <c r="I170" s="25">
        <v>2996</v>
      </c>
      <c r="J170" s="26">
        <f t="shared" si="31"/>
        <v>7.4000000000000057</v>
      </c>
      <c r="K170" s="21">
        <f t="shared" si="32"/>
        <v>33.920712000000023</v>
      </c>
      <c r="L170" s="27">
        <v>1.75</v>
      </c>
      <c r="M170" s="28">
        <v>5</v>
      </c>
      <c r="N170" s="29">
        <f t="shared" si="33"/>
        <v>5.7841424000000048</v>
      </c>
      <c r="O170" s="30">
        <f t="shared" si="34"/>
        <v>41.454854400000031</v>
      </c>
    </row>
    <row r="171" spans="1:15" s="3" customFormat="1" x14ac:dyDescent="0.3">
      <c r="A171" s="34"/>
      <c r="B171" s="34"/>
      <c r="C171" s="34"/>
      <c r="D171" s="34"/>
      <c r="E171" s="34"/>
      <c r="F171" s="34"/>
      <c r="G171" s="34" t="s">
        <v>8</v>
      </c>
      <c r="H171" s="34">
        <f>AVERAGE(H159:H170)</f>
        <v>47.319579200883112</v>
      </c>
      <c r="I171" s="34"/>
      <c r="J171" s="34"/>
      <c r="K171" s="34">
        <f>AVERAGE(K159:K170)</f>
        <v>34.174322249999996</v>
      </c>
      <c r="L171" s="34"/>
      <c r="M171" s="34"/>
      <c r="N171" s="34">
        <f>AVERAGE(N159:N170)</f>
        <v>5.8348644500000004</v>
      </c>
      <c r="O171" s="34">
        <f>AVERAGE(O159:O170)</f>
        <v>41.759186700000001</v>
      </c>
    </row>
    <row r="172" spans="1:15" x14ac:dyDescent="0.3">
      <c r="A172" s="19">
        <v>44544</v>
      </c>
      <c r="B172" s="20">
        <v>0.27083333333333331</v>
      </c>
      <c r="C172" s="21">
        <v>41.1</v>
      </c>
      <c r="D172" s="22">
        <v>33.799999999999997</v>
      </c>
      <c r="E172" s="7">
        <v>26</v>
      </c>
      <c r="F172" s="11">
        <f t="shared" si="30"/>
        <v>7.3000000000000043</v>
      </c>
      <c r="G172" s="23">
        <f t="shared" si="30"/>
        <v>7.7999999999999972</v>
      </c>
      <c r="H172" s="24">
        <f t="shared" si="35"/>
        <v>48.344370860927178</v>
      </c>
      <c r="I172" s="25">
        <v>3063</v>
      </c>
      <c r="J172" s="26">
        <f t="shared" si="31"/>
        <v>7.3000000000000043</v>
      </c>
      <c r="K172" s="21">
        <f t="shared" si="32"/>
        <v>34.210647000000016</v>
      </c>
      <c r="L172" s="27">
        <v>1.75</v>
      </c>
      <c r="M172" s="28">
        <v>5</v>
      </c>
      <c r="N172" s="29">
        <f t="shared" si="33"/>
        <v>5.8421294000000028</v>
      </c>
      <c r="O172" s="30">
        <f t="shared" si="34"/>
        <v>41.80277640000002</v>
      </c>
    </row>
    <row r="173" spans="1:15" x14ac:dyDescent="0.3">
      <c r="A173" s="19"/>
      <c r="B173" s="20">
        <v>0.35416666666666669</v>
      </c>
      <c r="C173" s="21">
        <v>40.5</v>
      </c>
      <c r="D173" s="22">
        <v>33.200000000000003</v>
      </c>
      <c r="E173" s="7">
        <v>26</v>
      </c>
      <c r="F173" s="11">
        <f t="shared" si="30"/>
        <v>7.2999999999999972</v>
      </c>
      <c r="G173" s="23">
        <f t="shared" si="30"/>
        <v>7.2000000000000028</v>
      </c>
      <c r="H173" s="24">
        <f t="shared" si="35"/>
        <v>50.344827586206875</v>
      </c>
      <c r="I173" s="25">
        <v>3031</v>
      </c>
      <c r="J173" s="26">
        <f t="shared" si="31"/>
        <v>7.2999999999999972</v>
      </c>
      <c r="K173" s="21">
        <f t="shared" si="32"/>
        <v>33.853238999999981</v>
      </c>
      <c r="L173" s="27">
        <v>1.75</v>
      </c>
      <c r="M173" s="28">
        <v>5</v>
      </c>
      <c r="N173" s="29">
        <f t="shared" si="33"/>
        <v>5.7706477999999963</v>
      </c>
      <c r="O173" s="30">
        <f t="shared" si="34"/>
        <v>41.37388679999998</v>
      </c>
    </row>
    <row r="174" spans="1:15" x14ac:dyDescent="0.3">
      <c r="A174" s="19"/>
      <c r="B174" s="20">
        <v>0.4375</v>
      </c>
      <c r="C174" s="21">
        <v>41.4</v>
      </c>
      <c r="D174" s="22">
        <v>34.1</v>
      </c>
      <c r="E174" s="7">
        <v>26</v>
      </c>
      <c r="F174" s="11">
        <f t="shared" si="30"/>
        <v>7.2999999999999972</v>
      </c>
      <c r="G174" s="23">
        <f t="shared" si="30"/>
        <v>8.1000000000000014</v>
      </c>
      <c r="H174" s="24">
        <f t="shared" si="35"/>
        <v>47.402597402597394</v>
      </c>
      <c r="I174" s="25">
        <v>3110</v>
      </c>
      <c r="J174" s="26">
        <f t="shared" si="31"/>
        <v>7.2999999999999972</v>
      </c>
      <c r="K174" s="21">
        <f t="shared" si="32"/>
        <v>34.735589999999981</v>
      </c>
      <c r="L174" s="27">
        <v>1.75</v>
      </c>
      <c r="M174" s="28">
        <v>5</v>
      </c>
      <c r="N174" s="29">
        <f t="shared" si="33"/>
        <v>5.9471179999999961</v>
      </c>
      <c r="O174" s="30">
        <f t="shared" si="34"/>
        <v>42.432707999999977</v>
      </c>
    </row>
    <row r="175" spans="1:15" x14ac:dyDescent="0.3">
      <c r="A175" s="19"/>
      <c r="B175" s="20">
        <v>0.52083333333333337</v>
      </c>
      <c r="C175" s="21">
        <v>41.8</v>
      </c>
      <c r="D175" s="22">
        <v>34.4</v>
      </c>
      <c r="E175" s="7">
        <v>26</v>
      </c>
      <c r="F175" s="11">
        <f t="shared" si="30"/>
        <v>7.3999999999999986</v>
      </c>
      <c r="G175" s="23">
        <f t="shared" si="30"/>
        <v>8.3999999999999986</v>
      </c>
      <c r="H175" s="24">
        <f t="shared" si="35"/>
        <v>46.835443037974684</v>
      </c>
      <c r="I175" s="25">
        <v>3020</v>
      </c>
      <c r="J175" s="26">
        <f t="shared" si="31"/>
        <v>7.3999999999999986</v>
      </c>
      <c r="K175" s="21">
        <f t="shared" si="32"/>
        <v>34.192439999999991</v>
      </c>
      <c r="L175" s="27">
        <v>1.75</v>
      </c>
      <c r="M175" s="28">
        <v>5</v>
      </c>
      <c r="N175" s="29">
        <f t="shared" si="33"/>
        <v>5.8384879999999981</v>
      </c>
      <c r="O175" s="30">
        <f t="shared" si="34"/>
        <v>41.780927999999989</v>
      </c>
    </row>
    <row r="176" spans="1:15" x14ac:dyDescent="0.3">
      <c r="A176" s="19"/>
      <c r="B176" s="20">
        <v>0.60416666666666663</v>
      </c>
      <c r="C176" s="21">
        <v>41.6</v>
      </c>
      <c r="D176" s="22">
        <v>34.299999999999997</v>
      </c>
      <c r="E176" s="7">
        <v>26</v>
      </c>
      <c r="F176" s="11">
        <f t="shared" si="30"/>
        <v>7.3000000000000043</v>
      </c>
      <c r="G176" s="23">
        <f t="shared" si="30"/>
        <v>8.2999999999999972</v>
      </c>
      <c r="H176" s="24">
        <f t="shared" si="35"/>
        <v>46.794871794871817</v>
      </c>
      <c r="I176" s="25">
        <v>3068</v>
      </c>
      <c r="J176" s="26">
        <f t="shared" si="31"/>
        <v>7.3000000000000043</v>
      </c>
      <c r="K176" s="21">
        <f t="shared" si="32"/>
        <v>34.266492000000014</v>
      </c>
      <c r="L176" s="27">
        <v>1.75</v>
      </c>
      <c r="M176" s="28">
        <v>5</v>
      </c>
      <c r="N176" s="29">
        <f t="shared" si="33"/>
        <v>5.8532984000000026</v>
      </c>
      <c r="O176" s="30">
        <f t="shared" si="34"/>
        <v>41.869790400000014</v>
      </c>
    </row>
    <row r="177" spans="1:15" x14ac:dyDescent="0.3">
      <c r="A177" s="19"/>
      <c r="B177" s="20">
        <v>0.6875</v>
      </c>
      <c r="C177" s="21"/>
      <c r="D177" s="22"/>
      <c r="E177" s="7">
        <v>26</v>
      </c>
      <c r="F177" s="11"/>
      <c r="G177" s="23"/>
      <c r="H177" s="24"/>
      <c r="I177" s="25"/>
      <c r="J177" s="26">
        <f t="shared" si="31"/>
        <v>0</v>
      </c>
      <c r="K177" s="21">
        <f t="shared" si="32"/>
        <v>0</v>
      </c>
      <c r="L177" s="27">
        <v>1.75</v>
      </c>
      <c r="M177" s="28">
        <v>5</v>
      </c>
      <c r="N177" s="29">
        <f t="shared" si="33"/>
        <v>-1</v>
      </c>
      <c r="O177" s="30">
        <f t="shared" si="34"/>
        <v>0.75</v>
      </c>
    </row>
    <row r="178" spans="1:15" x14ac:dyDescent="0.3">
      <c r="A178" s="19"/>
      <c r="B178" s="20">
        <v>0.77083333333333337</v>
      </c>
      <c r="C178" s="21">
        <v>40.9</v>
      </c>
      <c r="D178" s="22">
        <v>33.4</v>
      </c>
      <c r="E178" s="7">
        <v>26</v>
      </c>
      <c r="F178" s="11">
        <f t="shared" si="30"/>
        <v>7.5</v>
      </c>
      <c r="G178" s="23">
        <f t="shared" si="30"/>
        <v>7.3999999999999986</v>
      </c>
      <c r="H178" s="24">
        <f t="shared" ref="H178:H207" si="36">(F178/(F178+G178))*100</f>
        <v>50.335570469798661</v>
      </c>
      <c r="I178" s="25">
        <v>3084</v>
      </c>
      <c r="J178" s="26">
        <f t="shared" si="31"/>
        <v>7.5</v>
      </c>
      <c r="K178" s="21">
        <f t="shared" si="32"/>
        <v>35.3889</v>
      </c>
      <c r="L178" s="27">
        <v>1.75</v>
      </c>
      <c r="M178" s="28">
        <v>5</v>
      </c>
      <c r="N178" s="29">
        <f t="shared" si="33"/>
        <v>6.0777799999999997</v>
      </c>
      <c r="O178" s="30">
        <f t="shared" si="34"/>
        <v>43.216679999999997</v>
      </c>
    </row>
    <row r="179" spans="1:15" x14ac:dyDescent="0.3">
      <c r="A179" s="19"/>
      <c r="B179" s="20">
        <v>0.85416666666666663</v>
      </c>
      <c r="C179" s="32">
        <v>39.9</v>
      </c>
      <c r="D179" s="22">
        <v>32.9</v>
      </c>
      <c r="E179" s="7">
        <v>26</v>
      </c>
      <c r="F179" s="11">
        <f t="shared" si="30"/>
        <v>7</v>
      </c>
      <c r="G179" s="23">
        <f t="shared" si="30"/>
        <v>6.8999999999999986</v>
      </c>
      <c r="H179" s="24">
        <f t="shared" si="36"/>
        <v>50.359712230215834</v>
      </c>
      <c r="I179" s="25">
        <v>2984</v>
      </c>
      <c r="J179" s="26">
        <f t="shared" si="31"/>
        <v>7</v>
      </c>
      <c r="K179" s="21">
        <f t="shared" si="32"/>
        <v>31.958639999999995</v>
      </c>
      <c r="L179" s="27">
        <v>1.75</v>
      </c>
      <c r="M179" s="28">
        <v>5</v>
      </c>
      <c r="N179" s="29">
        <f t="shared" si="33"/>
        <v>5.3917279999999987</v>
      </c>
      <c r="O179" s="30">
        <f t="shared" si="34"/>
        <v>39.100367999999996</v>
      </c>
    </row>
    <row r="180" spans="1:15" x14ac:dyDescent="0.3">
      <c r="A180" s="19"/>
      <c r="B180" s="20">
        <v>0.9375</v>
      </c>
      <c r="C180" s="21">
        <v>40.4</v>
      </c>
      <c r="D180" s="22">
        <v>33</v>
      </c>
      <c r="E180" s="7">
        <v>26</v>
      </c>
      <c r="F180" s="11">
        <f t="shared" si="30"/>
        <v>7.3999999999999986</v>
      </c>
      <c r="G180" s="23">
        <f t="shared" si="30"/>
        <v>7</v>
      </c>
      <c r="H180" s="24">
        <f t="shared" si="36"/>
        <v>51.388888888888886</v>
      </c>
      <c r="I180" s="25">
        <v>3116</v>
      </c>
      <c r="J180" s="26">
        <f t="shared" si="31"/>
        <v>7.3999999999999986</v>
      </c>
      <c r="K180" s="21">
        <f t="shared" si="32"/>
        <v>35.279351999999996</v>
      </c>
      <c r="L180" s="27">
        <v>1.75</v>
      </c>
      <c r="M180" s="28">
        <v>5</v>
      </c>
      <c r="N180" s="29">
        <f t="shared" si="33"/>
        <v>6.055870399999999</v>
      </c>
      <c r="O180" s="30">
        <f t="shared" si="34"/>
        <v>43.085222399999992</v>
      </c>
    </row>
    <row r="181" spans="1:15" x14ac:dyDescent="0.3">
      <c r="A181" s="19"/>
      <c r="B181" s="20">
        <v>2.0833333333333332E-2</v>
      </c>
      <c r="C181" s="21">
        <v>38.1</v>
      </c>
      <c r="D181" s="22">
        <v>31.8</v>
      </c>
      <c r="E181" s="7">
        <v>26</v>
      </c>
      <c r="F181" s="11">
        <f t="shared" si="30"/>
        <v>6.3000000000000007</v>
      </c>
      <c r="G181" s="23">
        <f t="shared" si="30"/>
        <v>5.8000000000000007</v>
      </c>
      <c r="H181" s="24">
        <f t="shared" si="36"/>
        <v>52.066115702479344</v>
      </c>
      <c r="I181" s="25">
        <v>3012</v>
      </c>
      <c r="J181" s="26">
        <f t="shared" si="31"/>
        <v>6.3000000000000007</v>
      </c>
      <c r="K181" s="21">
        <f t="shared" si="32"/>
        <v>29.032667999999997</v>
      </c>
      <c r="L181" s="27">
        <v>1.75</v>
      </c>
      <c r="M181" s="28">
        <v>5</v>
      </c>
      <c r="N181" s="29">
        <f t="shared" si="33"/>
        <v>4.8065335999999999</v>
      </c>
      <c r="O181" s="30">
        <f t="shared" si="34"/>
        <v>35.589201599999996</v>
      </c>
    </row>
    <row r="182" spans="1:15" x14ac:dyDescent="0.3">
      <c r="A182" s="19"/>
      <c r="B182" s="20">
        <v>0.10416666666666667</v>
      </c>
      <c r="C182" s="21"/>
      <c r="D182" s="22"/>
      <c r="E182" s="7">
        <v>26</v>
      </c>
      <c r="F182" s="11"/>
      <c r="G182" s="23"/>
      <c r="H182" s="24"/>
      <c r="I182" s="25"/>
      <c r="J182" s="26">
        <f t="shared" si="31"/>
        <v>0</v>
      </c>
      <c r="K182" s="21">
        <f t="shared" si="32"/>
        <v>0</v>
      </c>
      <c r="L182" s="27">
        <v>1.75</v>
      </c>
      <c r="M182" s="28">
        <v>5</v>
      </c>
      <c r="N182" s="29">
        <f t="shared" si="33"/>
        <v>-1</v>
      </c>
      <c r="O182" s="30">
        <f t="shared" si="34"/>
        <v>0.75</v>
      </c>
    </row>
    <row r="183" spans="1:15" x14ac:dyDescent="0.3">
      <c r="A183" s="19"/>
      <c r="B183" s="20">
        <v>0.1875</v>
      </c>
      <c r="C183" s="21">
        <v>38.1</v>
      </c>
      <c r="D183" s="35">
        <v>31.7</v>
      </c>
      <c r="E183" s="7">
        <v>26</v>
      </c>
      <c r="F183" s="11">
        <f t="shared" ref="F183:G246" si="37">C183-D183</f>
        <v>6.4000000000000021</v>
      </c>
      <c r="G183" s="23">
        <f t="shared" si="37"/>
        <v>5.6999999999999993</v>
      </c>
      <c r="H183" s="24">
        <f t="shared" si="36"/>
        <v>52.89256198347109</v>
      </c>
      <c r="I183" s="25">
        <v>3130</v>
      </c>
      <c r="J183" s="26">
        <f t="shared" si="31"/>
        <v>6.4000000000000021</v>
      </c>
      <c r="K183" s="21">
        <f t="shared" si="32"/>
        <v>30.64896000000001</v>
      </c>
      <c r="L183" s="27">
        <v>1.75</v>
      </c>
      <c r="M183" s="28">
        <v>5</v>
      </c>
      <c r="N183" s="29">
        <f t="shared" si="33"/>
        <v>5.1297920000000019</v>
      </c>
      <c r="O183" s="30">
        <f t="shared" si="34"/>
        <v>37.528752000000011</v>
      </c>
    </row>
    <row r="184" spans="1:15" s="3" customFormat="1" x14ac:dyDescent="0.3">
      <c r="A184" s="34"/>
      <c r="B184" s="34"/>
      <c r="C184" s="34"/>
      <c r="D184" s="34"/>
      <c r="E184" s="34"/>
      <c r="F184" s="34"/>
      <c r="G184" s="34" t="s">
        <v>8</v>
      </c>
      <c r="H184" s="34">
        <f>AVERAGE(H172:H183)</f>
        <v>49.676495995743174</v>
      </c>
      <c r="I184" s="34"/>
      <c r="J184" s="34"/>
      <c r="K184" s="34">
        <f>AVERAGE(K172:K183)</f>
        <v>27.797243999999996</v>
      </c>
      <c r="L184" s="34"/>
      <c r="M184" s="34"/>
      <c r="N184" s="34">
        <f>AVERAGE(N172:N183)</f>
        <v>4.5594487999999993</v>
      </c>
      <c r="O184" s="34">
        <f>AVERAGE(O172:O183)</f>
        <v>34.106692799999998</v>
      </c>
    </row>
    <row r="185" spans="1:15" x14ac:dyDescent="0.3">
      <c r="A185" s="19">
        <v>44545</v>
      </c>
      <c r="B185" s="20">
        <v>0.27083333333333331</v>
      </c>
      <c r="C185" s="21">
        <v>38</v>
      </c>
      <c r="D185" s="22">
        <v>31.6</v>
      </c>
      <c r="E185" s="7">
        <v>26</v>
      </c>
      <c r="F185" s="11">
        <f t="shared" si="37"/>
        <v>6.3999999999999986</v>
      </c>
      <c r="G185" s="23">
        <f t="shared" si="37"/>
        <v>5.6000000000000014</v>
      </c>
      <c r="H185" s="24">
        <f t="shared" si="36"/>
        <v>53.333333333333321</v>
      </c>
      <c r="I185" s="25">
        <v>3060</v>
      </c>
      <c r="J185" s="26">
        <f t="shared" si="31"/>
        <v>6.3999999999999986</v>
      </c>
      <c r="K185" s="21">
        <f t="shared" si="32"/>
        <v>29.963519999999992</v>
      </c>
      <c r="L185" s="27">
        <v>1.75</v>
      </c>
      <c r="M185" s="28">
        <v>5</v>
      </c>
      <c r="N185" s="29">
        <f t="shared" si="33"/>
        <v>4.992703999999998</v>
      </c>
      <c r="O185" s="30">
        <f t="shared" si="34"/>
        <v>36.706223999999992</v>
      </c>
    </row>
    <row r="186" spans="1:15" x14ac:dyDescent="0.3">
      <c r="A186" s="19"/>
      <c r="B186" s="20">
        <v>0.35416666666666669</v>
      </c>
      <c r="C186" s="21">
        <v>38.299999999999997</v>
      </c>
      <c r="D186" s="22">
        <v>31.6</v>
      </c>
      <c r="E186" s="7">
        <v>26</v>
      </c>
      <c r="F186" s="11">
        <f t="shared" si="37"/>
        <v>6.6999999999999957</v>
      </c>
      <c r="G186" s="23">
        <f t="shared" si="37"/>
        <v>5.6000000000000014</v>
      </c>
      <c r="H186" s="24">
        <f t="shared" si="36"/>
        <v>54.471544715447131</v>
      </c>
      <c r="I186" s="25">
        <v>3085</v>
      </c>
      <c r="J186" s="26">
        <f t="shared" si="31"/>
        <v>6.6999999999999957</v>
      </c>
      <c r="K186" s="21">
        <f t="shared" si="32"/>
        <v>31.624334999999977</v>
      </c>
      <c r="L186" s="27">
        <v>1.75</v>
      </c>
      <c r="M186" s="28">
        <v>5</v>
      </c>
      <c r="N186" s="29">
        <f t="shared" si="33"/>
        <v>5.3248669999999958</v>
      </c>
      <c r="O186" s="30">
        <f t="shared" si="34"/>
        <v>38.699201999999971</v>
      </c>
    </row>
    <row r="187" spans="1:15" x14ac:dyDescent="0.3">
      <c r="A187" s="19"/>
      <c r="B187" s="20">
        <v>0.4375</v>
      </c>
      <c r="C187" s="21">
        <v>37.6</v>
      </c>
      <c r="D187" s="22">
        <v>31.3</v>
      </c>
      <c r="E187" s="7">
        <v>26</v>
      </c>
      <c r="F187" s="11">
        <f t="shared" si="37"/>
        <v>6.3000000000000007</v>
      </c>
      <c r="G187" s="23">
        <f t="shared" si="37"/>
        <v>5.3000000000000007</v>
      </c>
      <c r="H187" s="24">
        <f t="shared" si="36"/>
        <v>54.310344827586206</v>
      </c>
      <c r="I187" s="25">
        <v>3060</v>
      </c>
      <c r="J187" s="26">
        <f t="shared" si="31"/>
        <v>6.3000000000000007</v>
      </c>
      <c r="K187" s="21">
        <f t="shared" si="32"/>
        <v>29.495340000000002</v>
      </c>
      <c r="L187" s="27">
        <v>1.75</v>
      </c>
      <c r="M187" s="28">
        <v>5</v>
      </c>
      <c r="N187" s="29">
        <f t="shared" si="33"/>
        <v>4.8990680000000006</v>
      </c>
      <c r="O187" s="30">
        <f t="shared" si="34"/>
        <v>36.144408000000006</v>
      </c>
    </row>
    <row r="188" spans="1:15" x14ac:dyDescent="0.3">
      <c r="A188" s="19"/>
      <c r="B188" s="20">
        <v>0.52083333333333337</v>
      </c>
      <c r="C188" s="21">
        <v>37.700000000000003</v>
      </c>
      <c r="D188" s="22">
        <v>31</v>
      </c>
      <c r="E188" s="7">
        <v>26</v>
      </c>
      <c r="F188" s="11">
        <f t="shared" si="37"/>
        <v>6.7000000000000028</v>
      </c>
      <c r="G188" s="23">
        <f t="shared" si="37"/>
        <v>5</v>
      </c>
      <c r="H188" s="24">
        <f t="shared" si="36"/>
        <v>57.264957264957275</v>
      </c>
      <c r="I188" s="25">
        <v>3104</v>
      </c>
      <c r="J188" s="26">
        <f t="shared" si="31"/>
        <v>6.7000000000000028</v>
      </c>
      <c r="K188" s="21">
        <f t="shared" si="32"/>
        <v>31.81910400000001</v>
      </c>
      <c r="L188" s="27">
        <v>1.75</v>
      </c>
      <c r="M188" s="28">
        <v>5</v>
      </c>
      <c r="N188" s="29">
        <f t="shared" si="33"/>
        <v>5.3638208000000018</v>
      </c>
      <c r="O188" s="30">
        <f t="shared" si="34"/>
        <v>38.932924800000009</v>
      </c>
    </row>
    <row r="189" spans="1:15" x14ac:dyDescent="0.3">
      <c r="A189" s="19"/>
      <c r="B189" s="20">
        <v>0.60416666666666663</v>
      </c>
      <c r="C189" s="21">
        <v>37.700000000000003</v>
      </c>
      <c r="D189" s="22">
        <v>31</v>
      </c>
      <c r="E189" s="7">
        <v>26</v>
      </c>
      <c r="F189" s="11">
        <f t="shared" si="37"/>
        <v>6.7000000000000028</v>
      </c>
      <c r="G189" s="23">
        <f t="shared" si="37"/>
        <v>5</v>
      </c>
      <c r="H189" s="24">
        <f t="shared" si="36"/>
        <v>57.264957264957275</v>
      </c>
      <c r="I189" s="25">
        <v>3021</v>
      </c>
      <c r="J189" s="26">
        <f t="shared" si="31"/>
        <v>6.7000000000000028</v>
      </c>
      <c r="K189" s="21">
        <f t="shared" si="32"/>
        <v>30.968271000000009</v>
      </c>
      <c r="L189" s="27">
        <v>1.75</v>
      </c>
      <c r="M189" s="28">
        <v>5</v>
      </c>
      <c r="N189" s="29">
        <f t="shared" si="33"/>
        <v>5.1936542000000019</v>
      </c>
      <c r="O189" s="30">
        <f t="shared" si="34"/>
        <v>37.911925200000013</v>
      </c>
    </row>
    <row r="190" spans="1:15" x14ac:dyDescent="0.3">
      <c r="A190" s="19"/>
      <c r="B190" s="20">
        <v>0.6875</v>
      </c>
      <c r="C190" s="21">
        <v>39.1</v>
      </c>
      <c r="D190" s="22">
        <v>32</v>
      </c>
      <c r="E190" s="7">
        <v>26</v>
      </c>
      <c r="F190" s="11">
        <f t="shared" si="37"/>
        <v>7.1000000000000014</v>
      </c>
      <c r="G190" s="23">
        <f t="shared" si="37"/>
        <v>6</v>
      </c>
      <c r="H190" s="24">
        <f t="shared" si="36"/>
        <v>54.198473282442748</v>
      </c>
      <c r="I190" s="25">
        <v>3131</v>
      </c>
      <c r="J190" s="26">
        <f t="shared" si="31"/>
        <v>7.1000000000000014</v>
      </c>
      <c r="K190" s="21">
        <f t="shared" si="32"/>
        <v>34.012053000000002</v>
      </c>
      <c r="L190" s="27">
        <v>1.75</v>
      </c>
      <c r="M190" s="28">
        <v>5</v>
      </c>
      <c r="N190" s="29">
        <f t="shared" si="33"/>
        <v>5.8024106</v>
      </c>
      <c r="O190" s="30">
        <f t="shared" si="34"/>
        <v>41.564463600000003</v>
      </c>
    </row>
    <row r="191" spans="1:15" x14ac:dyDescent="0.3">
      <c r="A191" s="19"/>
      <c r="B191" s="20">
        <v>0.77083333333333337</v>
      </c>
      <c r="C191" s="21">
        <v>39.700000000000003</v>
      </c>
      <c r="D191" s="22">
        <v>33</v>
      </c>
      <c r="E191" s="7">
        <v>26</v>
      </c>
      <c r="F191" s="11">
        <f t="shared" si="37"/>
        <v>6.7000000000000028</v>
      </c>
      <c r="G191" s="23">
        <f t="shared" si="37"/>
        <v>7</v>
      </c>
      <c r="H191" s="24">
        <f t="shared" si="36"/>
        <v>48.905109489051107</v>
      </c>
      <c r="I191" s="25">
        <v>3181</v>
      </c>
      <c r="J191" s="26">
        <f t="shared" si="31"/>
        <v>6.7000000000000028</v>
      </c>
      <c r="K191" s="21">
        <f t="shared" si="32"/>
        <v>32.60843100000001</v>
      </c>
      <c r="L191" s="27">
        <v>1.75</v>
      </c>
      <c r="M191" s="28">
        <v>5</v>
      </c>
      <c r="N191" s="29">
        <f t="shared" si="33"/>
        <v>5.5216862000000022</v>
      </c>
      <c r="O191" s="30">
        <f t="shared" si="34"/>
        <v>39.880117200000015</v>
      </c>
    </row>
    <row r="192" spans="1:15" x14ac:dyDescent="0.3">
      <c r="A192" s="19"/>
      <c r="B192" s="20">
        <v>0.85416666666666663</v>
      </c>
      <c r="C192" s="32">
        <v>40.1</v>
      </c>
      <c r="D192" s="22">
        <v>33</v>
      </c>
      <c r="E192" s="7">
        <v>26</v>
      </c>
      <c r="F192" s="11">
        <f t="shared" si="37"/>
        <v>7.1000000000000014</v>
      </c>
      <c r="G192" s="23">
        <f t="shared" si="37"/>
        <v>7</v>
      </c>
      <c r="H192" s="24">
        <f t="shared" si="36"/>
        <v>50.354609929078023</v>
      </c>
      <c r="I192" s="25">
        <v>3131</v>
      </c>
      <c r="J192" s="26">
        <f t="shared" si="31"/>
        <v>7.1000000000000014</v>
      </c>
      <c r="K192" s="21">
        <f t="shared" si="32"/>
        <v>34.012053000000002</v>
      </c>
      <c r="L192" s="27">
        <v>1.75</v>
      </c>
      <c r="M192" s="28">
        <v>5</v>
      </c>
      <c r="N192" s="29">
        <f t="shared" si="33"/>
        <v>5.8024106</v>
      </c>
      <c r="O192" s="30">
        <f t="shared" si="34"/>
        <v>41.564463600000003</v>
      </c>
    </row>
    <row r="193" spans="1:15" x14ac:dyDescent="0.3">
      <c r="A193" s="19"/>
      <c r="B193" s="20">
        <v>0.9375</v>
      </c>
      <c r="C193" s="21">
        <v>40</v>
      </c>
      <c r="D193" s="22">
        <v>33.4</v>
      </c>
      <c r="E193" s="7">
        <v>26</v>
      </c>
      <c r="F193" s="11">
        <f t="shared" si="37"/>
        <v>6.6000000000000014</v>
      </c>
      <c r="G193" s="23">
        <f t="shared" si="37"/>
        <v>7.3999999999999986</v>
      </c>
      <c r="H193" s="24">
        <f t="shared" si="36"/>
        <v>47.142857142857153</v>
      </c>
      <c r="I193" s="25">
        <v>3160</v>
      </c>
      <c r="J193" s="26">
        <f t="shared" si="31"/>
        <v>6.6000000000000014</v>
      </c>
      <c r="K193" s="21">
        <f t="shared" si="32"/>
        <v>31.909680000000005</v>
      </c>
      <c r="L193" s="27">
        <v>1.75</v>
      </c>
      <c r="M193" s="28">
        <v>5</v>
      </c>
      <c r="N193" s="29">
        <f t="shared" si="33"/>
        <v>5.3819360000000014</v>
      </c>
      <c r="O193" s="30">
        <f t="shared" si="34"/>
        <v>39.041616000000012</v>
      </c>
    </row>
    <row r="194" spans="1:15" x14ac:dyDescent="0.3">
      <c r="A194" s="19"/>
      <c r="B194" s="20">
        <v>2.0833333333333332E-2</v>
      </c>
      <c r="C194" s="21">
        <v>40.299999999999997</v>
      </c>
      <c r="D194" s="22">
        <v>33.5</v>
      </c>
      <c r="E194" s="7">
        <v>26</v>
      </c>
      <c r="F194" s="11">
        <f t="shared" si="37"/>
        <v>6.7999999999999972</v>
      </c>
      <c r="G194" s="23">
        <f t="shared" si="37"/>
        <v>7.5</v>
      </c>
      <c r="H194" s="24">
        <f t="shared" si="36"/>
        <v>47.552447552447539</v>
      </c>
      <c r="I194" s="25">
        <v>3171</v>
      </c>
      <c r="J194" s="26">
        <f t="shared" si="31"/>
        <v>6.7999999999999972</v>
      </c>
      <c r="K194" s="21">
        <f t="shared" si="32"/>
        <v>32.991083999999979</v>
      </c>
      <c r="L194" s="27">
        <v>1.75</v>
      </c>
      <c r="M194" s="28">
        <v>5</v>
      </c>
      <c r="N194" s="29">
        <f t="shared" si="33"/>
        <v>5.5982167999999959</v>
      </c>
      <c r="O194" s="30">
        <f t="shared" si="34"/>
        <v>40.339300799999975</v>
      </c>
    </row>
    <row r="195" spans="1:15" x14ac:dyDescent="0.3">
      <c r="A195" s="19"/>
      <c r="B195" s="20">
        <v>0.10416666666666667</v>
      </c>
      <c r="C195" s="21">
        <v>40.700000000000003</v>
      </c>
      <c r="D195" s="22">
        <v>33.799999999999997</v>
      </c>
      <c r="E195" s="7">
        <v>26</v>
      </c>
      <c r="F195" s="11">
        <f t="shared" si="37"/>
        <v>6.9000000000000057</v>
      </c>
      <c r="G195" s="23">
        <f t="shared" si="37"/>
        <v>7.7999999999999972</v>
      </c>
      <c r="H195" s="24">
        <f t="shared" si="36"/>
        <v>46.93877551020411</v>
      </c>
      <c r="I195" s="25">
        <v>3115</v>
      </c>
      <c r="J195" s="26">
        <f t="shared" si="31"/>
        <v>6.9000000000000057</v>
      </c>
      <c r="K195" s="21">
        <f t="shared" si="32"/>
        <v>32.885055000000023</v>
      </c>
      <c r="L195" s="27">
        <v>1.75</v>
      </c>
      <c r="M195" s="28">
        <v>5</v>
      </c>
      <c r="N195" s="29">
        <f t="shared" si="33"/>
        <v>5.5770110000000042</v>
      </c>
      <c r="O195" s="30">
        <f t="shared" si="34"/>
        <v>40.212066000000029</v>
      </c>
    </row>
    <row r="196" spans="1:15" x14ac:dyDescent="0.3">
      <c r="A196" s="19"/>
      <c r="B196" s="20">
        <v>0.1875</v>
      </c>
      <c r="C196" s="21">
        <v>40</v>
      </c>
      <c r="D196" s="35">
        <v>34</v>
      </c>
      <c r="E196" s="7">
        <v>26</v>
      </c>
      <c r="F196" s="11">
        <f t="shared" si="37"/>
        <v>6</v>
      </c>
      <c r="G196" s="23">
        <f>D196-E196</f>
        <v>8</v>
      </c>
      <c r="H196" s="24">
        <f t="shared" si="36"/>
        <v>42.857142857142854</v>
      </c>
      <c r="I196" s="25">
        <v>3075</v>
      </c>
      <c r="J196" s="26">
        <f t="shared" ref="J196:J259" si="38">C196-D196</f>
        <v>6</v>
      </c>
      <c r="K196" s="21">
        <f t="shared" ref="K196:K259" si="39">0.00085*1.8*I196*J196</f>
        <v>28.228499999999997</v>
      </c>
      <c r="L196" s="27">
        <v>1.75</v>
      </c>
      <c r="M196" s="28">
        <v>5</v>
      </c>
      <c r="N196" s="29">
        <f t="shared" ref="N196:N259" si="40">K196/M196-1</f>
        <v>4.6456999999999997</v>
      </c>
      <c r="O196" s="30">
        <f t="shared" ref="O196:O259" si="41">K196+L196+N196</f>
        <v>34.624199999999995</v>
      </c>
    </row>
    <row r="197" spans="1:15" s="3" customFormat="1" x14ac:dyDescent="0.3">
      <c r="A197" s="34"/>
      <c r="B197" s="34"/>
      <c r="C197" s="34"/>
      <c r="D197" s="34"/>
      <c r="E197" s="34"/>
      <c r="F197" s="34"/>
      <c r="G197" s="34" t="s">
        <v>8</v>
      </c>
      <c r="H197" s="34">
        <f>AVERAGE(H185:H196)</f>
        <v>51.216212764125402</v>
      </c>
      <c r="I197" s="34"/>
      <c r="J197" s="34"/>
      <c r="K197" s="34">
        <f>AVERAGE(K185:K196)</f>
        <v>31.709785500000006</v>
      </c>
      <c r="L197" s="34"/>
      <c r="M197" s="34"/>
      <c r="N197" s="34">
        <f>AVERAGE(N185:N196)</f>
        <v>5.341957100000001</v>
      </c>
      <c r="O197" s="34">
        <f>AVERAGE(O185:O196)</f>
        <v>38.801742600000004</v>
      </c>
    </row>
    <row r="198" spans="1:15" x14ac:dyDescent="0.3">
      <c r="A198" s="19">
        <v>44546</v>
      </c>
      <c r="B198" s="20">
        <v>0.27083333333333331</v>
      </c>
      <c r="C198" s="21">
        <v>40.5</v>
      </c>
      <c r="D198" s="22">
        <v>33.5</v>
      </c>
      <c r="E198" s="7">
        <v>26</v>
      </c>
      <c r="F198" s="11">
        <f t="shared" si="37"/>
        <v>7</v>
      </c>
      <c r="G198" s="23">
        <f t="shared" ref="G198:G263" si="42">D198-E198</f>
        <v>7.5</v>
      </c>
      <c r="H198" s="24">
        <f t="shared" si="36"/>
        <v>48.275862068965516</v>
      </c>
      <c r="I198" s="25">
        <v>3156</v>
      </c>
      <c r="J198" s="26">
        <f t="shared" si="38"/>
        <v>7</v>
      </c>
      <c r="K198" s="21">
        <f t="shared" si="39"/>
        <v>33.800759999999997</v>
      </c>
      <c r="L198" s="27">
        <v>1.75</v>
      </c>
      <c r="M198" s="28">
        <v>5</v>
      </c>
      <c r="N198" s="29">
        <f t="shared" si="40"/>
        <v>5.7601519999999997</v>
      </c>
      <c r="O198" s="30">
        <f t="shared" si="41"/>
        <v>41.310911999999995</v>
      </c>
    </row>
    <row r="199" spans="1:15" x14ac:dyDescent="0.3">
      <c r="A199" s="19"/>
      <c r="B199" s="20">
        <v>0.35416666666666669</v>
      </c>
      <c r="C199" s="21">
        <v>39.9</v>
      </c>
      <c r="D199" s="22">
        <v>33.1</v>
      </c>
      <c r="E199" s="7">
        <v>26</v>
      </c>
      <c r="F199" s="11">
        <f t="shared" si="37"/>
        <v>6.7999999999999972</v>
      </c>
      <c r="G199" s="23">
        <f t="shared" si="42"/>
        <v>7.1000000000000014</v>
      </c>
      <c r="H199" s="24">
        <f t="shared" si="36"/>
        <v>48.920863309352505</v>
      </c>
      <c r="I199" s="25">
        <v>3085</v>
      </c>
      <c r="J199" s="26">
        <f t="shared" si="38"/>
        <v>6.7999999999999972</v>
      </c>
      <c r="K199" s="21">
        <f t="shared" si="39"/>
        <v>32.096339999999984</v>
      </c>
      <c r="L199" s="27">
        <v>1.75</v>
      </c>
      <c r="M199" s="28">
        <v>5</v>
      </c>
      <c r="N199" s="29">
        <f t="shared" si="40"/>
        <v>5.4192679999999971</v>
      </c>
      <c r="O199" s="30">
        <f t="shared" si="41"/>
        <v>39.265607999999979</v>
      </c>
    </row>
    <row r="200" spans="1:15" x14ac:dyDescent="0.3">
      <c r="A200" s="19"/>
      <c r="B200" s="20">
        <v>0.4375</v>
      </c>
      <c r="C200" s="21">
        <v>40.799999999999997</v>
      </c>
      <c r="D200" s="22">
        <v>33.799999999999997</v>
      </c>
      <c r="E200" s="7">
        <v>26</v>
      </c>
      <c r="F200" s="11">
        <f t="shared" si="37"/>
        <v>7</v>
      </c>
      <c r="G200" s="23">
        <f t="shared" si="42"/>
        <v>7.7999999999999972</v>
      </c>
      <c r="H200" s="24">
        <f t="shared" si="36"/>
        <v>47.297297297297305</v>
      </c>
      <c r="I200" s="25">
        <v>3116</v>
      </c>
      <c r="J200" s="26">
        <f t="shared" si="38"/>
        <v>7</v>
      </c>
      <c r="K200" s="21">
        <f t="shared" si="39"/>
        <v>33.37236</v>
      </c>
      <c r="L200" s="27">
        <v>1.75</v>
      </c>
      <c r="M200" s="28">
        <v>5</v>
      </c>
      <c r="N200" s="29">
        <f t="shared" si="40"/>
        <v>5.6744719999999997</v>
      </c>
      <c r="O200" s="30">
        <f t="shared" si="41"/>
        <v>40.796832000000002</v>
      </c>
    </row>
    <row r="201" spans="1:15" x14ac:dyDescent="0.3">
      <c r="A201" s="19"/>
      <c r="B201" s="20">
        <v>0.52083333333333337</v>
      </c>
      <c r="C201" s="21">
        <v>40.4</v>
      </c>
      <c r="D201" s="22">
        <v>33.6</v>
      </c>
      <c r="E201" s="7">
        <v>26</v>
      </c>
      <c r="F201" s="11">
        <f t="shared" si="37"/>
        <v>6.7999999999999972</v>
      </c>
      <c r="G201" s="23">
        <f t="shared" si="42"/>
        <v>7.6000000000000014</v>
      </c>
      <c r="H201" s="24">
        <f t="shared" si="36"/>
        <v>47.222222222222207</v>
      </c>
      <c r="I201" s="25">
        <v>3165</v>
      </c>
      <c r="J201" s="26">
        <f t="shared" si="38"/>
        <v>6.7999999999999972</v>
      </c>
      <c r="K201" s="21">
        <f t="shared" si="39"/>
        <v>32.928659999999979</v>
      </c>
      <c r="L201" s="27">
        <v>1.75</v>
      </c>
      <c r="M201" s="28">
        <v>5</v>
      </c>
      <c r="N201" s="29">
        <f t="shared" si="40"/>
        <v>5.5857319999999957</v>
      </c>
      <c r="O201" s="30">
        <f t="shared" si="41"/>
        <v>40.264391999999972</v>
      </c>
    </row>
    <row r="202" spans="1:15" x14ac:dyDescent="0.3">
      <c r="A202" s="19"/>
      <c r="B202" s="20">
        <v>0.60416666666666663</v>
      </c>
      <c r="C202" s="21">
        <v>39.700000000000003</v>
      </c>
      <c r="D202" s="22">
        <v>32.700000000000003</v>
      </c>
      <c r="E202" s="7">
        <v>26</v>
      </c>
      <c r="F202" s="11">
        <f t="shared" si="37"/>
        <v>7</v>
      </c>
      <c r="G202" s="23">
        <f t="shared" si="42"/>
        <v>6.7000000000000028</v>
      </c>
      <c r="H202" s="24">
        <f t="shared" si="36"/>
        <v>51.0948905109489</v>
      </c>
      <c r="I202" s="25">
        <v>3036</v>
      </c>
      <c r="J202" s="26">
        <f t="shared" si="38"/>
        <v>7</v>
      </c>
      <c r="K202" s="21">
        <f t="shared" si="39"/>
        <v>32.515560000000001</v>
      </c>
      <c r="L202" s="27">
        <v>1.75</v>
      </c>
      <c r="M202" s="28">
        <v>5</v>
      </c>
      <c r="N202" s="29">
        <f t="shared" si="40"/>
        <v>5.5031119999999998</v>
      </c>
      <c r="O202" s="30">
        <f t="shared" si="41"/>
        <v>39.768672000000002</v>
      </c>
    </row>
    <row r="203" spans="1:15" x14ac:dyDescent="0.3">
      <c r="A203" s="19"/>
      <c r="B203" s="20">
        <v>0.6875</v>
      </c>
      <c r="C203" s="21">
        <v>39.700000000000003</v>
      </c>
      <c r="D203" s="22">
        <v>32.700000000000003</v>
      </c>
      <c r="E203" s="7">
        <v>26</v>
      </c>
      <c r="F203" s="11">
        <f t="shared" si="37"/>
        <v>7</v>
      </c>
      <c r="G203" s="23">
        <f t="shared" si="42"/>
        <v>6.7000000000000028</v>
      </c>
      <c r="H203" s="24">
        <f t="shared" si="36"/>
        <v>51.0948905109489</v>
      </c>
      <c r="I203" s="25">
        <v>3046</v>
      </c>
      <c r="J203" s="26">
        <f t="shared" si="38"/>
        <v>7</v>
      </c>
      <c r="K203" s="21">
        <f t="shared" si="39"/>
        <v>32.622659999999996</v>
      </c>
      <c r="L203" s="27">
        <v>1.75</v>
      </c>
      <c r="M203" s="28">
        <v>5</v>
      </c>
      <c r="N203" s="29">
        <f t="shared" si="40"/>
        <v>5.5245319999999989</v>
      </c>
      <c r="O203" s="30">
        <f t="shared" si="41"/>
        <v>39.897191999999997</v>
      </c>
    </row>
    <row r="204" spans="1:15" x14ac:dyDescent="0.3">
      <c r="A204" s="19"/>
      <c r="B204" s="20">
        <v>0.77083333333333337</v>
      </c>
      <c r="C204" s="21">
        <v>39.4</v>
      </c>
      <c r="D204" s="22">
        <v>32.4</v>
      </c>
      <c r="E204" s="7">
        <v>26</v>
      </c>
      <c r="F204" s="11">
        <f t="shared" si="37"/>
        <v>7</v>
      </c>
      <c r="G204" s="23">
        <f t="shared" si="42"/>
        <v>6.3999999999999986</v>
      </c>
      <c r="H204" s="24">
        <f t="shared" si="36"/>
        <v>52.238805970149258</v>
      </c>
      <c r="I204" s="25">
        <v>3113</v>
      </c>
      <c r="J204" s="26">
        <f t="shared" si="38"/>
        <v>7</v>
      </c>
      <c r="K204" s="21">
        <f t="shared" si="39"/>
        <v>33.340229999999998</v>
      </c>
      <c r="L204" s="27">
        <v>1.75</v>
      </c>
      <c r="M204" s="28">
        <v>5</v>
      </c>
      <c r="N204" s="29">
        <f t="shared" si="40"/>
        <v>5.6680459999999995</v>
      </c>
      <c r="O204" s="30">
        <f t="shared" si="41"/>
        <v>40.758275999999995</v>
      </c>
    </row>
    <row r="205" spans="1:15" x14ac:dyDescent="0.3">
      <c r="A205" s="19"/>
      <c r="B205" s="20">
        <v>0.85416666666666663</v>
      </c>
      <c r="C205" s="32">
        <v>40.1</v>
      </c>
      <c r="D205" s="22">
        <v>32.799999999999997</v>
      </c>
      <c r="E205" s="7">
        <v>26</v>
      </c>
      <c r="F205" s="11">
        <f t="shared" si="37"/>
        <v>7.3000000000000043</v>
      </c>
      <c r="G205" s="23">
        <f t="shared" si="42"/>
        <v>6.7999999999999972</v>
      </c>
      <c r="H205" s="24">
        <f t="shared" si="36"/>
        <v>51.773049645390103</v>
      </c>
      <c r="I205" s="25">
        <v>3135</v>
      </c>
      <c r="J205" s="26">
        <f t="shared" si="38"/>
        <v>7.3000000000000043</v>
      </c>
      <c r="K205" s="21">
        <f t="shared" si="39"/>
        <v>35.01481500000002</v>
      </c>
      <c r="L205" s="27">
        <v>1.75</v>
      </c>
      <c r="M205" s="28">
        <v>5</v>
      </c>
      <c r="N205" s="29">
        <f t="shared" si="40"/>
        <v>6.0029630000000038</v>
      </c>
      <c r="O205" s="30">
        <f t="shared" si="41"/>
        <v>42.767778000000021</v>
      </c>
    </row>
    <row r="206" spans="1:15" x14ac:dyDescent="0.3">
      <c r="A206" s="19"/>
      <c r="B206" s="20">
        <v>0.9375</v>
      </c>
      <c r="C206" s="21">
        <v>39.799999999999997</v>
      </c>
      <c r="D206" s="22">
        <v>32.6</v>
      </c>
      <c r="E206" s="7">
        <v>26</v>
      </c>
      <c r="F206" s="11">
        <f t="shared" si="37"/>
        <v>7.1999999999999957</v>
      </c>
      <c r="G206" s="23">
        <f t="shared" si="42"/>
        <v>6.6000000000000014</v>
      </c>
      <c r="H206" s="24">
        <f t="shared" si="36"/>
        <v>52.173913043478237</v>
      </c>
      <c r="I206" s="25">
        <v>3173</v>
      </c>
      <c r="J206" s="26">
        <f t="shared" si="38"/>
        <v>7.1999999999999957</v>
      </c>
      <c r="K206" s="21">
        <f t="shared" si="39"/>
        <v>34.953767999999975</v>
      </c>
      <c r="L206" s="27">
        <v>1.75</v>
      </c>
      <c r="M206" s="28">
        <v>5</v>
      </c>
      <c r="N206" s="29">
        <f t="shared" si="40"/>
        <v>5.9907535999999952</v>
      </c>
      <c r="O206" s="30">
        <f t="shared" si="41"/>
        <v>42.694521599999973</v>
      </c>
    </row>
    <row r="207" spans="1:15" x14ac:dyDescent="0.3">
      <c r="A207" s="19"/>
      <c r="B207" s="20">
        <v>2.0833333333333332E-2</v>
      </c>
      <c r="C207" s="21">
        <v>39.6</v>
      </c>
      <c r="D207" s="22">
        <v>32.5</v>
      </c>
      <c r="E207" s="7">
        <v>26</v>
      </c>
      <c r="F207" s="11">
        <f t="shared" si="37"/>
        <v>7.1000000000000014</v>
      </c>
      <c r="G207" s="23">
        <f t="shared" si="42"/>
        <v>6.5</v>
      </c>
      <c r="H207" s="24">
        <f t="shared" si="36"/>
        <v>52.205882352941181</v>
      </c>
      <c r="I207" s="25">
        <v>3255</v>
      </c>
      <c r="J207" s="26">
        <f t="shared" si="38"/>
        <v>7.1000000000000014</v>
      </c>
      <c r="K207" s="21">
        <f t="shared" si="39"/>
        <v>35.359065000000008</v>
      </c>
      <c r="L207" s="27">
        <v>1.75</v>
      </c>
      <c r="M207" s="28">
        <v>5</v>
      </c>
      <c r="N207" s="29">
        <f t="shared" si="40"/>
        <v>6.0718130000000015</v>
      </c>
      <c r="O207" s="30">
        <f t="shared" si="41"/>
        <v>43.180878000000007</v>
      </c>
    </row>
    <row r="208" spans="1:15" x14ac:dyDescent="0.3">
      <c r="A208" s="19"/>
      <c r="B208" s="20">
        <v>0.10416666666666667</v>
      </c>
      <c r="C208" s="21"/>
      <c r="D208" s="22"/>
      <c r="E208" s="7">
        <v>26</v>
      </c>
      <c r="F208" s="11"/>
      <c r="G208" s="23"/>
      <c r="H208" s="24"/>
      <c r="I208" s="25"/>
      <c r="J208" s="26">
        <f t="shared" si="38"/>
        <v>0</v>
      </c>
      <c r="K208" s="21">
        <f t="shared" si="39"/>
        <v>0</v>
      </c>
      <c r="L208" s="27">
        <v>1.75</v>
      </c>
      <c r="M208" s="28">
        <v>5</v>
      </c>
      <c r="N208" s="29">
        <f t="shared" si="40"/>
        <v>-1</v>
      </c>
      <c r="O208" s="30">
        <f t="shared" si="41"/>
        <v>0.75</v>
      </c>
    </row>
    <row r="209" spans="1:15" x14ac:dyDescent="0.3">
      <c r="A209" s="19"/>
      <c r="B209" s="20">
        <v>0.1875</v>
      </c>
      <c r="C209" s="21">
        <v>39.1</v>
      </c>
      <c r="D209" s="35">
        <v>32</v>
      </c>
      <c r="E209" s="7">
        <v>26</v>
      </c>
      <c r="F209" s="11">
        <f t="shared" si="37"/>
        <v>7.1000000000000014</v>
      </c>
      <c r="G209" s="23">
        <f t="shared" si="42"/>
        <v>6</v>
      </c>
      <c r="H209" s="24">
        <f t="shared" ref="H209:H272" si="43">(F209/(F209+G209))*100</f>
        <v>54.198473282442748</v>
      </c>
      <c r="I209" s="25">
        <v>3076</v>
      </c>
      <c r="J209" s="26">
        <f t="shared" si="38"/>
        <v>7.1000000000000014</v>
      </c>
      <c r="K209" s="21">
        <f t="shared" si="39"/>
        <v>33.414588000000002</v>
      </c>
      <c r="L209" s="27">
        <v>1.75</v>
      </c>
      <c r="M209" s="28">
        <v>5</v>
      </c>
      <c r="N209" s="29">
        <f t="shared" si="40"/>
        <v>5.6829176000000006</v>
      </c>
      <c r="O209" s="30">
        <f t="shared" si="41"/>
        <v>40.847505600000005</v>
      </c>
    </row>
    <row r="210" spans="1:15" s="3" customFormat="1" x14ac:dyDescent="0.3">
      <c r="A210" s="34"/>
      <c r="B210" s="34"/>
      <c r="C210" s="34"/>
      <c r="D210" s="34"/>
      <c r="E210" s="34"/>
      <c r="F210" s="34"/>
      <c r="G210" s="34" t="s">
        <v>8</v>
      </c>
      <c r="H210" s="34">
        <f>AVERAGE(H198:H209)</f>
        <v>50.590559110376077</v>
      </c>
      <c r="I210" s="34"/>
      <c r="J210" s="34"/>
      <c r="K210" s="34">
        <f>AVERAGE(K198:K209)</f>
        <v>30.784900499999992</v>
      </c>
      <c r="L210" s="34"/>
      <c r="M210" s="34"/>
      <c r="N210" s="34">
        <f>AVERAGE(N198:N209)</f>
        <v>5.1569800999999993</v>
      </c>
      <c r="O210" s="34">
        <f>AVERAGE(O198:O209)</f>
        <v>37.691880599999998</v>
      </c>
    </row>
    <row r="211" spans="1:15" x14ac:dyDescent="0.3">
      <c r="A211" s="19">
        <v>44547</v>
      </c>
      <c r="B211" s="20">
        <v>0.27083333333333331</v>
      </c>
      <c r="C211" s="21">
        <v>38.299999999999997</v>
      </c>
      <c r="D211" s="22">
        <v>31.6</v>
      </c>
      <c r="E211" s="7">
        <v>26</v>
      </c>
      <c r="F211" s="11">
        <f t="shared" si="37"/>
        <v>6.6999999999999957</v>
      </c>
      <c r="G211" s="23">
        <f t="shared" si="42"/>
        <v>5.6000000000000014</v>
      </c>
      <c r="H211" s="24">
        <f t="shared" si="43"/>
        <v>54.471544715447131</v>
      </c>
      <c r="I211" s="25">
        <v>3158</v>
      </c>
      <c r="J211" s="26">
        <f t="shared" si="38"/>
        <v>6.6999999999999957</v>
      </c>
      <c r="K211" s="21">
        <f t="shared" si="39"/>
        <v>32.37265799999998</v>
      </c>
      <c r="L211" s="27">
        <v>1.75</v>
      </c>
      <c r="M211" s="28">
        <v>5</v>
      </c>
      <c r="N211" s="29">
        <f t="shared" si="40"/>
        <v>5.4745315999999962</v>
      </c>
      <c r="O211" s="30">
        <f t="shared" si="41"/>
        <v>39.597189599999979</v>
      </c>
    </row>
    <row r="212" spans="1:15" x14ac:dyDescent="0.3">
      <c r="A212" s="19"/>
      <c r="B212" s="20">
        <v>0.35416666666666669</v>
      </c>
      <c r="C212" s="21">
        <v>38.299999999999997</v>
      </c>
      <c r="D212" s="22">
        <v>31.4</v>
      </c>
      <c r="E212" s="7">
        <v>26</v>
      </c>
      <c r="F212" s="11">
        <f t="shared" si="37"/>
        <v>6.8999999999999986</v>
      </c>
      <c r="G212" s="23">
        <f t="shared" si="42"/>
        <v>5.3999999999999986</v>
      </c>
      <c r="H212" s="24">
        <f t="shared" si="43"/>
        <v>56.09756097560976</v>
      </c>
      <c r="I212" s="25">
        <v>3165</v>
      </c>
      <c r="J212" s="26">
        <f t="shared" si="38"/>
        <v>6.8999999999999986</v>
      </c>
      <c r="K212" s="21">
        <f t="shared" si="39"/>
        <v>33.412904999999988</v>
      </c>
      <c r="L212" s="27">
        <v>1.75</v>
      </c>
      <c r="M212" s="28">
        <v>5</v>
      </c>
      <c r="N212" s="29">
        <f t="shared" si="40"/>
        <v>5.6825809999999972</v>
      </c>
      <c r="O212" s="30">
        <f t="shared" si="41"/>
        <v>40.845485999999987</v>
      </c>
    </row>
    <row r="213" spans="1:15" x14ac:dyDescent="0.3">
      <c r="A213" s="19"/>
      <c r="B213" s="20">
        <v>0.4375</v>
      </c>
      <c r="C213" s="21">
        <v>38.9</v>
      </c>
      <c r="D213" s="22">
        <v>31.9</v>
      </c>
      <c r="E213" s="7">
        <v>26</v>
      </c>
      <c r="F213" s="11">
        <f t="shared" si="37"/>
        <v>7</v>
      </c>
      <c r="G213" s="23">
        <f t="shared" si="42"/>
        <v>5.8999999999999986</v>
      </c>
      <c r="H213" s="24">
        <f t="shared" si="43"/>
        <v>54.263565891472879</v>
      </c>
      <c r="I213" s="25">
        <v>3103</v>
      </c>
      <c r="J213" s="26">
        <f t="shared" si="38"/>
        <v>7</v>
      </c>
      <c r="K213" s="21">
        <f t="shared" si="39"/>
        <v>33.233129999999996</v>
      </c>
      <c r="L213" s="27">
        <v>1.75</v>
      </c>
      <c r="M213" s="28">
        <v>5</v>
      </c>
      <c r="N213" s="29">
        <f t="shared" si="40"/>
        <v>5.6466259999999995</v>
      </c>
      <c r="O213" s="30">
        <f t="shared" si="41"/>
        <v>40.629755999999993</v>
      </c>
    </row>
    <row r="214" spans="1:15" x14ac:dyDescent="0.3">
      <c r="A214" s="19"/>
      <c r="B214" s="20">
        <v>0.52083333333333337</v>
      </c>
      <c r="C214" s="21">
        <v>39.799999999999997</v>
      </c>
      <c r="D214" s="22">
        <v>32.799999999999997</v>
      </c>
      <c r="E214" s="7">
        <v>26</v>
      </c>
      <c r="F214" s="11">
        <f t="shared" si="37"/>
        <v>7</v>
      </c>
      <c r="G214" s="23">
        <f t="shared" si="42"/>
        <v>6.7999999999999972</v>
      </c>
      <c r="H214" s="24">
        <f t="shared" si="43"/>
        <v>50.724637681159436</v>
      </c>
      <c r="I214" s="25">
        <v>3118</v>
      </c>
      <c r="J214" s="26">
        <f t="shared" si="38"/>
        <v>7</v>
      </c>
      <c r="K214" s="21">
        <f t="shared" si="39"/>
        <v>33.39378</v>
      </c>
      <c r="L214" s="27">
        <v>1.75</v>
      </c>
      <c r="M214" s="28">
        <v>5</v>
      </c>
      <c r="N214" s="29">
        <f t="shared" si="40"/>
        <v>5.6787559999999999</v>
      </c>
      <c r="O214" s="30">
        <f t="shared" si="41"/>
        <v>40.822535999999999</v>
      </c>
    </row>
    <row r="215" spans="1:15" x14ac:dyDescent="0.3">
      <c r="A215" s="19"/>
      <c r="B215" s="20">
        <v>0.60416666666666663</v>
      </c>
      <c r="C215" s="21">
        <v>40</v>
      </c>
      <c r="D215" s="22">
        <v>33</v>
      </c>
      <c r="E215" s="7">
        <v>26</v>
      </c>
      <c r="F215" s="11">
        <f t="shared" si="37"/>
        <v>7</v>
      </c>
      <c r="G215" s="23">
        <f t="shared" si="42"/>
        <v>7</v>
      </c>
      <c r="H215" s="24">
        <f t="shared" si="43"/>
        <v>50</v>
      </c>
      <c r="I215" s="25">
        <v>2118</v>
      </c>
      <c r="J215" s="26">
        <f t="shared" si="38"/>
        <v>7</v>
      </c>
      <c r="K215" s="21">
        <f t="shared" si="39"/>
        <v>22.683779999999999</v>
      </c>
      <c r="L215" s="27">
        <v>1.75</v>
      </c>
      <c r="M215" s="28">
        <v>5</v>
      </c>
      <c r="N215" s="29">
        <f t="shared" si="40"/>
        <v>3.5367559999999996</v>
      </c>
      <c r="O215" s="30">
        <f t="shared" si="41"/>
        <v>27.970535999999999</v>
      </c>
    </row>
    <row r="216" spans="1:15" x14ac:dyDescent="0.3">
      <c r="A216" s="19"/>
      <c r="B216" s="20">
        <v>0.6875</v>
      </c>
      <c r="C216" s="21">
        <v>39.5</v>
      </c>
      <c r="D216" s="22">
        <v>32.6</v>
      </c>
      <c r="E216" s="7">
        <v>26</v>
      </c>
      <c r="F216" s="11">
        <f t="shared" si="37"/>
        <v>6.8999999999999986</v>
      </c>
      <c r="G216" s="23">
        <f t="shared" si="42"/>
        <v>6.6000000000000014</v>
      </c>
      <c r="H216" s="24">
        <f t="shared" si="43"/>
        <v>51.111111111111093</v>
      </c>
      <c r="I216" s="25">
        <v>3339</v>
      </c>
      <c r="J216" s="26">
        <f t="shared" si="38"/>
        <v>6.8999999999999986</v>
      </c>
      <c r="K216" s="21">
        <f t="shared" si="39"/>
        <v>35.249822999999992</v>
      </c>
      <c r="L216" s="27">
        <v>1.75</v>
      </c>
      <c r="M216" s="28">
        <v>5</v>
      </c>
      <c r="N216" s="29">
        <f t="shared" si="40"/>
        <v>6.0499645999999982</v>
      </c>
      <c r="O216" s="30">
        <f t="shared" si="41"/>
        <v>43.049787599999988</v>
      </c>
    </row>
    <row r="217" spans="1:15" x14ac:dyDescent="0.3">
      <c r="A217" s="19"/>
      <c r="B217" s="20">
        <v>0.77083333333333337</v>
      </c>
      <c r="C217" s="21">
        <v>39.4</v>
      </c>
      <c r="D217" s="22">
        <v>32.5</v>
      </c>
      <c r="E217" s="7">
        <v>26</v>
      </c>
      <c r="F217" s="11">
        <f t="shared" si="37"/>
        <v>6.8999999999999986</v>
      </c>
      <c r="G217" s="23">
        <f t="shared" si="42"/>
        <v>6.5</v>
      </c>
      <c r="H217" s="24">
        <f t="shared" si="43"/>
        <v>51.492537313432827</v>
      </c>
      <c r="I217" s="25">
        <v>3202</v>
      </c>
      <c r="J217" s="26">
        <f t="shared" si="38"/>
        <v>6.8999999999999986</v>
      </c>
      <c r="K217" s="21">
        <f t="shared" si="39"/>
        <v>33.803513999999993</v>
      </c>
      <c r="L217" s="27">
        <v>1.75</v>
      </c>
      <c r="M217" s="28">
        <v>5</v>
      </c>
      <c r="N217" s="29">
        <f t="shared" si="40"/>
        <v>5.7607027999999989</v>
      </c>
      <c r="O217" s="30">
        <f t="shared" si="41"/>
        <v>41.31421679999999</v>
      </c>
    </row>
    <row r="218" spans="1:15" x14ac:dyDescent="0.3">
      <c r="A218" s="19"/>
      <c r="B218" s="20">
        <v>0.85416666666666663</v>
      </c>
      <c r="C218" s="32">
        <v>39.299999999999997</v>
      </c>
      <c r="D218" s="22">
        <v>32.299999999999997</v>
      </c>
      <c r="E218" s="7">
        <v>26</v>
      </c>
      <c r="F218" s="11">
        <f t="shared" si="37"/>
        <v>7</v>
      </c>
      <c r="G218" s="23">
        <f t="shared" si="42"/>
        <v>6.2999999999999972</v>
      </c>
      <c r="H218" s="24">
        <f t="shared" si="43"/>
        <v>52.631578947368432</v>
      </c>
      <c r="I218" s="25">
        <v>3314</v>
      </c>
      <c r="J218" s="26">
        <f t="shared" si="38"/>
        <v>7</v>
      </c>
      <c r="K218" s="21">
        <f t="shared" si="39"/>
        <v>35.492939999999997</v>
      </c>
      <c r="L218" s="27">
        <v>1.75</v>
      </c>
      <c r="M218" s="28">
        <v>5</v>
      </c>
      <c r="N218" s="29">
        <f t="shared" si="40"/>
        <v>6.0985879999999995</v>
      </c>
      <c r="O218" s="30">
        <f t="shared" si="41"/>
        <v>43.341527999999997</v>
      </c>
    </row>
    <row r="219" spans="1:15" x14ac:dyDescent="0.3">
      <c r="A219" s="19"/>
      <c r="B219" s="20">
        <v>0.9375</v>
      </c>
      <c r="C219" s="21">
        <v>38.1</v>
      </c>
      <c r="D219" s="22">
        <v>31.8</v>
      </c>
      <c r="E219" s="7">
        <v>26</v>
      </c>
      <c r="F219" s="11">
        <f t="shared" si="37"/>
        <v>6.3000000000000007</v>
      </c>
      <c r="G219" s="23">
        <f t="shared" si="42"/>
        <v>5.8000000000000007</v>
      </c>
      <c r="H219" s="24">
        <f t="shared" si="43"/>
        <v>52.066115702479344</v>
      </c>
      <c r="I219" s="25">
        <v>3311</v>
      </c>
      <c r="J219" s="26">
        <f t="shared" si="38"/>
        <v>6.3000000000000007</v>
      </c>
      <c r="K219" s="21">
        <f t="shared" si="39"/>
        <v>31.914729000000005</v>
      </c>
      <c r="L219" s="27">
        <v>1.75</v>
      </c>
      <c r="M219" s="28">
        <v>5</v>
      </c>
      <c r="N219" s="29">
        <f t="shared" si="40"/>
        <v>5.3829458000000008</v>
      </c>
      <c r="O219" s="30">
        <f t="shared" si="41"/>
        <v>39.04767480000001</v>
      </c>
    </row>
    <row r="220" spans="1:15" x14ac:dyDescent="0.3">
      <c r="A220" s="19"/>
      <c r="B220" s="20">
        <v>2.0833333333333332E-2</v>
      </c>
      <c r="C220" s="21">
        <v>38.1</v>
      </c>
      <c r="D220" s="22">
        <v>31.8</v>
      </c>
      <c r="E220" s="7">
        <v>26</v>
      </c>
      <c r="F220" s="11">
        <f t="shared" si="37"/>
        <v>6.3000000000000007</v>
      </c>
      <c r="G220" s="23">
        <f t="shared" si="42"/>
        <v>5.8000000000000007</v>
      </c>
      <c r="H220" s="24">
        <f t="shared" si="43"/>
        <v>52.066115702479344</v>
      </c>
      <c r="I220" s="25">
        <v>3201</v>
      </c>
      <c r="J220" s="26">
        <f t="shared" si="38"/>
        <v>6.3000000000000007</v>
      </c>
      <c r="K220" s="21">
        <f t="shared" si="39"/>
        <v>30.854439000000003</v>
      </c>
      <c r="L220" s="27">
        <v>1.75</v>
      </c>
      <c r="M220" s="28">
        <v>5</v>
      </c>
      <c r="N220" s="29">
        <f t="shared" si="40"/>
        <v>5.1708878000000009</v>
      </c>
      <c r="O220" s="30">
        <f t="shared" si="41"/>
        <v>37.775326800000002</v>
      </c>
    </row>
    <row r="221" spans="1:15" x14ac:dyDescent="0.3">
      <c r="A221" s="19"/>
      <c r="B221" s="20">
        <v>0.10416666666666667</v>
      </c>
      <c r="C221" s="21">
        <v>38.1</v>
      </c>
      <c r="D221" s="22">
        <v>31</v>
      </c>
      <c r="E221" s="7">
        <v>26</v>
      </c>
      <c r="F221" s="11">
        <f t="shared" si="37"/>
        <v>7.1000000000000014</v>
      </c>
      <c r="G221" s="23">
        <f t="shared" si="42"/>
        <v>5</v>
      </c>
      <c r="H221" s="24">
        <f t="shared" si="43"/>
        <v>58.677685950413228</v>
      </c>
      <c r="I221" s="25">
        <v>3181</v>
      </c>
      <c r="J221" s="26">
        <f t="shared" si="38"/>
        <v>7.1000000000000014</v>
      </c>
      <c r="K221" s="21">
        <f t="shared" si="39"/>
        <v>34.555203000000006</v>
      </c>
      <c r="L221" s="27">
        <v>1.75</v>
      </c>
      <c r="M221" s="28">
        <v>5</v>
      </c>
      <c r="N221" s="29">
        <f t="shared" si="40"/>
        <v>5.9110406000000015</v>
      </c>
      <c r="O221" s="30">
        <f t="shared" si="41"/>
        <v>42.216243600000006</v>
      </c>
    </row>
    <row r="222" spans="1:15" x14ac:dyDescent="0.3">
      <c r="A222" s="19"/>
      <c r="B222" s="20">
        <v>0.1875</v>
      </c>
      <c r="C222" s="21">
        <v>38</v>
      </c>
      <c r="D222" s="35">
        <v>31.2</v>
      </c>
      <c r="E222" s="7">
        <v>26</v>
      </c>
      <c r="F222" s="11">
        <f t="shared" si="37"/>
        <v>6.8000000000000007</v>
      </c>
      <c r="G222" s="23">
        <f t="shared" si="42"/>
        <v>5.1999999999999993</v>
      </c>
      <c r="H222" s="24">
        <f t="shared" si="43"/>
        <v>56.666666666666679</v>
      </c>
      <c r="I222" s="25">
        <v>3198</v>
      </c>
      <c r="J222" s="26">
        <f t="shared" si="38"/>
        <v>6.8000000000000007</v>
      </c>
      <c r="K222" s="21">
        <f t="shared" si="39"/>
        <v>33.271991999999997</v>
      </c>
      <c r="L222" s="27">
        <v>1.75</v>
      </c>
      <c r="M222" s="28">
        <v>5</v>
      </c>
      <c r="N222" s="29">
        <f t="shared" si="40"/>
        <v>5.6543983999999998</v>
      </c>
      <c r="O222" s="30">
        <f t="shared" si="41"/>
        <v>40.676390399999995</v>
      </c>
    </row>
    <row r="223" spans="1:15" s="3" customFormat="1" x14ac:dyDescent="0.3">
      <c r="A223" s="34"/>
      <c r="B223" s="34"/>
      <c r="C223" s="34"/>
      <c r="D223" s="34"/>
      <c r="E223" s="34"/>
      <c r="F223" s="34"/>
      <c r="G223" s="34" t="s">
        <v>8</v>
      </c>
      <c r="H223" s="34">
        <f>AVERAGE(H211:H222)</f>
        <v>53.355760054803341</v>
      </c>
      <c r="I223" s="34"/>
      <c r="J223" s="34"/>
      <c r="K223" s="34">
        <f>AVERAGE(K211:K222)</f>
        <v>32.519907749999994</v>
      </c>
      <c r="L223" s="34"/>
      <c r="M223" s="34"/>
      <c r="N223" s="34">
        <f>AVERAGE(N211:N222)</f>
        <v>5.5039815499999998</v>
      </c>
      <c r="O223" s="34">
        <f>AVERAGE(O211:O222)</f>
        <v>39.773889299999993</v>
      </c>
    </row>
    <row r="224" spans="1:15" x14ac:dyDescent="0.3">
      <c r="A224" s="19">
        <v>44548</v>
      </c>
      <c r="B224" s="20">
        <v>0.27083333333333331</v>
      </c>
      <c r="C224" s="21">
        <v>37.799999999999997</v>
      </c>
      <c r="D224" s="22">
        <v>31</v>
      </c>
      <c r="E224" s="7">
        <v>26</v>
      </c>
      <c r="F224" s="11">
        <f t="shared" si="37"/>
        <v>6.7999999999999972</v>
      </c>
      <c r="G224" s="23">
        <f t="shared" si="42"/>
        <v>5</v>
      </c>
      <c r="H224" s="24">
        <f t="shared" si="43"/>
        <v>57.627118644067785</v>
      </c>
      <c r="I224" s="25">
        <v>3230</v>
      </c>
      <c r="J224" s="26">
        <f t="shared" si="38"/>
        <v>6.7999999999999972</v>
      </c>
      <c r="K224" s="21">
        <f t="shared" si="39"/>
        <v>33.604919999999986</v>
      </c>
      <c r="L224" s="27">
        <v>1.75</v>
      </c>
      <c r="M224" s="28">
        <v>5</v>
      </c>
      <c r="N224" s="29">
        <f t="shared" si="40"/>
        <v>5.720983999999997</v>
      </c>
      <c r="O224" s="30">
        <f t="shared" si="41"/>
        <v>41.07590399999998</v>
      </c>
    </row>
    <row r="225" spans="1:15" x14ac:dyDescent="0.3">
      <c r="A225" s="19"/>
      <c r="B225" s="20">
        <v>0.35416666666666669</v>
      </c>
      <c r="C225" s="21">
        <v>37</v>
      </c>
      <c r="D225" s="22">
        <v>30.8</v>
      </c>
      <c r="E225" s="7">
        <v>26</v>
      </c>
      <c r="F225" s="11">
        <f t="shared" si="37"/>
        <v>6.1999999999999993</v>
      </c>
      <c r="G225" s="23">
        <f t="shared" si="42"/>
        <v>4.8000000000000007</v>
      </c>
      <c r="H225" s="24">
        <f t="shared" si="43"/>
        <v>56.36363636363636</v>
      </c>
      <c r="I225" s="25">
        <v>3181</v>
      </c>
      <c r="J225" s="26">
        <f t="shared" si="38"/>
        <v>6.1999999999999993</v>
      </c>
      <c r="K225" s="21">
        <f t="shared" si="39"/>
        <v>30.174965999999998</v>
      </c>
      <c r="L225" s="27">
        <v>1.75</v>
      </c>
      <c r="M225" s="28">
        <v>5</v>
      </c>
      <c r="N225" s="29">
        <f t="shared" si="40"/>
        <v>5.0349931999999997</v>
      </c>
      <c r="O225" s="30">
        <f t="shared" si="41"/>
        <v>36.9599592</v>
      </c>
    </row>
    <row r="226" spans="1:15" x14ac:dyDescent="0.3">
      <c r="A226" s="19"/>
      <c r="B226" s="20">
        <v>0.4375</v>
      </c>
      <c r="C226" s="21">
        <v>38.4</v>
      </c>
      <c r="D226" s="22">
        <v>31.7</v>
      </c>
      <c r="E226" s="7">
        <v>26</v>
      </c>
      <c r="F226" s="11">
        <f t="shared" si="37"/>
        <v>6.6999999999999993</v>
      </c>
      <c r="G226" s="23">
        <f t="shared" si="42"/>
        <v>5.6999999999999993</v>
      </c>
      <c r="H226" s="24">
        <f t="shared" si="43"/>
        <v>54.032258064516128</v>
      </c>
      <c r="I226" s="25">
        <v>3173</v>
      </c>
      <c r="J226" s="26">
        <f t="shared" si="38"/>
        <v>6.6999999999999993</v>
      </c>
      <c r="K226" s="21">
        <f t="shared" si="39"/>
        <v>32.526422999999994</v>
      </c>
      <c r="L226" s="27">
        <v>1.75</v>
      </c>
      <c r="M226" s="28">
        <v>5</v>
      </c>
      <c r="N226" s="29">
        <f t="shared" si="40"/>
        <v>5.5052845999999986</v>
      </c>
      <c r="O226" s="30">
        <f t="shared" si="41"/>
        <v>39.78170759999999</v>
      </c>
    </row>
    <row r="227" spans="1:15" x14ac:dyDescent="0.3">
      <c r="A227" s="19"/>
      <c r="B227" s="20">
        <v>0.52083333333333337</v>
      </c>
      <c r="C227" s="21">
        <v>36.5</v>
      </c>
      <c r="D227" s="22">
        <v>30.7</v>
      </c>
      <c r="E227" s="7">
        <v>26</v>
      </c>
      <c r="F227" s="11">
        <f t="shared" si="37"/>
        <v>5.8000000000000007</v>
      </c>
      <c r="G227" s="23">
        <f t="shared" si="42"/>
        <v>4.6999999999999993</v>
      </c>
      <c r="H227" s="24">
        <f t="shared" si="43"/>
        <v>55.238095238095241</v>
      </c>
      <c r="I227" s="25">
        <v>3241</v>
      </c>
      <c r="J227" s="26">
        <f t="shared" si="38"/>
        <v>5.8000000000000007</v>
      </c>
      <c r="K227" s="21">
        <f t="shared" si="39"/>
        <v>28.760634000000003</v>
      </c>
      <c r="L227" s="27">
        <v>1.75</v>
      </c>
      <c r="M227" s="28">
        <v>5</v>
      </c>
      <c r="N227" s="29">
        <f t="shared" si="40"/>
        <v>4.752126800000001</v>
      </c>
      <c r="O227" s="30">
        <f t="shared" si="41"/>
        <v>35.262760800000002</v>
      </c>
    </row>
    <row r="228" spans="1:15" x14ac:dyDescent="0.3">
      <c r="A228" s="19"/>
      <c r="B228" s="20">
        <v>0.60416666666666663</v>
      </c>
      <c r="C228" s="21">
        <v>36.1</v>
      </c>
      <c r="D228" s="22">
        <v>30.5</v>
      </c>
      <c r="E228" s="7">
        <v>26</v>
      </c>
      <c r="F228" s="11">
        <f t="shared" si="37"/>
        <v>5.6000000000000014</v>
      </c>
      <c r="G228" s="23">
        <f t="shared" si="42"/>
        <v>4.5</v>
      </c>
      <c r="H228" s="24">
        <f t="shared" si="43"/>
        <v>55.445544554455452</v>
      </c>
      <c r="I228" s="25">
        <v>3254</v>
      </c>
      <c r="J228" s="26">
        <f t="shared" si="38"/>
        <v>5.6000000000000014</v>
      </c>
      <c r="K228" s="21">
        <f t="shared" si="39"/>
        <v>27.880272000000005</v>
      </c>
      <c r="L228" s="27">
        <v>1.75</v>
      </c>
      <c r="M228" s="28">
        <v>5</v>
      </c>
      <c r="N228" s="29">
        <f t="shared" si="40"/>
        <v>4.5760544000000012</v>
      </c>
      <c r="O228" s="30">
        <f t="shared" si="41"/>
        <v>34.206326400000009</v>
      </c>
    </row>
    <row r="229" spans="1:15" x14ac:dyDescent="0.3">
      <c r="A229" s="19"/>
      <c r="B229" s="20">
        <v>0.6875</v>
      </c>
      <c r="C229" s="21">
        <v>36.9</v>
      </c>
      <c r="D229" s="22">
        <v>30.9</v>
      </c>
      <c r="E229" s="7">
        <v>26</v>
      </c>
      <c r="F229" s="11">
        <f t="shared" si="37"/>
        <v>6</v>
      </c>
      <c r="G229" s="23">
        <f t="shared" si="42"/>
        <v>4.8999999999999986</v>
      </c>
      <c r="H229" s="24">
        <f t="shared" si="43"/>
        <v>55.045871559633028</v>
      </c>
      <c r="I229" s="25">
        <v>3170</v>
      </c>
      <c r="J229" s="26">
        <f t="shared" si="38"/>
        <v>6</v>
      </c>
      <c r="K229" s="21">
        <f t="shared" si="39"/>
        <v>29.100599999999996</v>
      </c>
      <c r="L229" s="27">
        <v>1.75</v>
      </c>
      <c r="M229" s="28">
        <v>5</v>
      </c>
      <c r="N229" s="29">
        <f t="shared" si="40"/>
        <v>4.8201199999999993</v>
      </c>
      <c r="O229" s="30">
        <f t="shared" si="41"/>
        <v>35.670719999999996</v>
      </c>
    </row>
    <row r="230" spans="1:15" x14ac:dyDescent="0.3">
      <c r="A230" s="19"/>
      <c r="B230" s="20">
        <v>0.77083333333333337</v>
      </c>
      <c r="C230" s="21">
        <v>38.700000000000003</v>
      </c>
      <c r="D230" s="22">
        <v>31.7</v>
      </c>
      <c r="E230" s="7">
        <v>26</v>
      </c>
      <c r="F230" s="11">
        <f t="shared" si="37"/>
        <v>7.0000000000000036</v>
      </c>
      <c r="G230" s="23">
        <f t="shared" si="42"/>
        <v>5.6999999999999993</v>
      </c>
      <c r="H230" s="24">
        <f t="shared" si="43"/>
        <v>55.118110236220488</v>
      </c>
      <c r="I230" s="25">
        <v>3184</v>
      </c>
      <c r="J230" s="26">
        <f t="shared" si="38"/>
        <v>7.0000000000000036</v>
      </c>
      <c r="K230" s="21">
        <f t="shared" si="39"/>
        <v>34.100640000000013</v>
      </c>
      <c r="L230" s="27">
        <v>1.75</v>
      </c>
      <c r="M230" s="28">
        <v>5</v>
      </c>
      <c r="N230" s="29">
        <f t="shared" si="40"/>
        <v>5.8201280000000022</v>
      </c>
      <c r="O230" s="30">
        <f t="shared" si="41"/>
        <v>41.670768000000017</v>
      </c>
    </row>
    <row r="231" spans="1:15" x14ac:dyDescent="0.3">
      <c r="A231" s="19"/>
      <c r="B231" s="20">
        <v>0.85416666666666663</v>
      </c>
      <c r="C231" s="32">
        <v>38.9</v>
      </c>
      <c r="D231" s="22">
        <v>31.9</v>
      </c>
      <c r="E231" s="7">
        <v>26</v>
      </c>
      <c r="F231" s="11">
        <f t="shared" si="37"/>
        <v>7</v>
      </c>
      <c r="G231" s="23">
        <f t="shared" si="42"/>
        <v>5.8999999999999986</v>
      </c>
      <c r="H231" s="24">
        <f t="shared" si="43"/>
        <v>54.263565891472879</v>
      </c>
      <c r="I231" s="25">
        <v>3326</v>
      </c>
      <c r="J231" s="26">
        <f t="shared" si="38"/>
        <v>7</v>
      </c>
      <c r="K231" s="21">
        <f t="shared" si="39"/>
        <v>35.621459999999999</v>
      </c>
      <c r="L231" s="27">
        <v>1.75</v>
      </c>
      <c r="M231" s="28">
        <v>5</v>
      </c>
      <c r="N231" s="29">
        <f t="shared" si="40"/>
        <v>6.1242919999999996</v>
      </c>
      <c r="O231" s="30">
        <f t="shared" si="41"/>
        <v>43.495751999999996</v>
      </c>
    </row>
    <row r="232" spans="1:15" x14ac:dyDescent="0.3">
      <c r="A232" s="19"/>
      <c r="B232" s="20">
        <v>0.9375</v>
      </c>
      <c r="C232" s="21">
        <v>38.700000000000003</v>
      </c>
      <c r="D232" s="22">
        <v>31.8</v>
      </c>
      <c r="E232" s="7">
        <v>26</v>
      </c>
      <c r="F232" s="11">
        <f t="shared" si="37"/>
        <v>6.9000000000000021</v>
      </c>
      <c r="G232" s="23">
        <f t="shared" si="42"/>
        <v>5.8000000000000007</v>
      </c>
      <c r="H232" s="24">
        <f t="shared" si="43"/>
        <v>54.330708661417326</v>
      </c>
      <c r="I232" s="25">
        <v>3170</v>
      </c>
      <c r="J232" s="26">
        <f t="shared" si="38"/>
        <v>6.9000000000000021</v>
      </c>
      <c r="K232" s="21">
        <f t="shared" si="39"/>
        <v>33.465690000000009</v>
      </c>
      <c r="L232" s="27">
        <v>1.75</v>
      </c>
      <c r="M232" s="28">
        <v>5</v>
      </c>
      <c r="N232" s="29">
        <f t="shared" si="40"/>
        <v>5.693138000000002</v>
      </c>
      <c r="O232" s="30">
        <f t="shared" si="41"/>
        <v>40.908828000000014</v>
      </c>
    </row>
    <row r="233" spans="1:15" x14ac:dyDescent="0.3">
      <c r="A233" s="19"/>
      <c r="B233" s="20">
        <v>2.0833333333333332E-2</v>
      </c>
      <c r="C233" s="21">
        <v>38.4</v>
      </c>
      <c r="D233" s="22">
        <v>31.5</v>
      </c>
      <c r="E233" s="7">
        <v>26</v>
      </c>
      <c r="F233" s="11">
        <f t="shared" si="37"/>
        <v>6.8999999999999986</v>
      </c>
      <c r="G233" s="23">
        <f t="shared" si="42"/>
        <v>5.5</v>
      </c>
      <c r="H233" s="24">
        <f t="shared" si="43"/>
        <v>55.645161290322577</v>
      </c>
      <c r="I233" s="25">
        <v>3212</v>
      </c>
      <c r="J233" s="26">
        <f t="shared" si="38"/>
        <v>6.8999999999999986</v>
      </c>
      <c r="K233" s="21">
        <f t="shared" si="39"/>
        <v>33.909083999999986</v>
      </c>
      <c r="L233" s="27">
        <v>1.75</v>
      </c>
      <c r="M233" s="28">
        <v>5</v>
      </c>
      <c r="N233" s="29">
        <f t="shared" si="40"/>
        <v>5.781816799999997</v>
      </c>
      <c r="O233" s="30">
        <f t="shared" si="41"/>
        <v>41.44090079999998</v>
      </c>
    </row>
    <row r="234" spans="1:15" x14ac:dyDescent="0.3">
      <c r="A234" s="19"/>
      <c r="B234" s="20">
        <v>0.10416666666666667</v>
      </c>
      <c r="C234" s="21">
        <v>38.6</v>
      </c>
      <c r="D234" s="22">
        <v>31.5</v>
      </c>
      <c r="E234" s="7">
        <v>26</v>
      </c>
      <c r="F234" s="11">
        <f t="shared" si="37"/>
        <v>7.1000000000000014</v>
      </c>
      <c r="G234" s="23">
        <f t="shared" si="42"/>
        <v>5.5</v>
      </c>
      <c r="H234" s="24">
        <f t="shared" si="43"/>
        <v>56.349206349206348</v>
      </c>
      <c r="I234" s="25">
        <v>3202</v>
      </c>
      <c r="J234" s="26">
        <f t="shared" si="38"/>
        <v>7.1000000000000014</v>
      </c>
      <c r="K234" s="21">
        <f t="shared" si="39"/>
        <v>34.783326000000002</v>
      </c>
      <c r="L234" s="27">
        <v>1.75</v>
      </c>
      <c r="M234" s="28">
        <v>5</v>
      </c>
      <c r="N234" s="29">
        <f t="shared" si="40"/>
        <v>5.9566652000000007</v>
      </c>
      <c r="O234" s="30">
        <f t="shared" si="41"/>
        <v>42.489991200000006</v>
      </c>
    </row>
    <row r="235" spans="1:15" x14ac:dyDescent="0.3">
      <c r="A235" s="19"/>
      <c r="B235" s="20">
        <v>0.1875</v>
      </c>
      <c r="C235" s="21">
        <v>38.1</v>
      </c>
      <c r="D235" s="35">
        <v>31</v>
      </c>
      <c r="E235" s="7">
        <v>26</v>
      </c>
      <c r="F235" s="11">
        <f t="shared" si="37"/>
        <v>7.1000000000000014</v>
      </c>
      <c r="G235" s="23">
        <f t="shared" si="42"/>
        <v>5</v>
      </c>
      <c r="H235" s="24">
        <f t="shared" si="43"/>
        <v>58.677685950413228</v>
      </c>
      <c r="I235" s="25">
        <v>3161</v>
      </c>
      <c r="J235" s="26">
        <f t="shared" si="38"/>
        <v>7.1000000000000014</v>
      </c>
      <c r="K235" s="21">
        <f t="shared" si="39"/>
        <v>34.337943000000003</v>
      </c>
      <c r="L235" s="27">
        <v>1.75</v>
      </c>
      <c r="M235" s="28">
        <v>5</v>
      </c>
      <c r="N235" s="29">
        <f t="shared" si="40"/>
        <v>5.8675886000000004</v>
      </c>
      <c r="O235" s="30">
        <f t="shared" si="41"/>
        <v>41.9555316</v>
      </c>
    </row>
    <row r="236" spans="1:15" s="3" customFormat="1" x14ac:dyDescent="0.3">
      <c r="A236" s="34"/>
      <c r="B236" s="34"/>
      <c r="C236" s="34"/>
      <c r="D236" s="34"/>
      <c r="E236" s="34"/>
      <c r="F236" s="34"/>
      <c r="G236" s="34" t="s">
        <v>8</v>
      </c>
      <c r="H236" s="34">
        <f>AVERAGE(H224:H235)</f>
        <v>55.678080233621408</v>
      </c>
      <c r="I236" s="34"/>
      <c r="J236" s="34"/>
      <c r="K236" s="34">
        <f>AVERAGE(K224:K235)</f>
        <v>32.355496499999994</v>
      </c>
      <c r="L236" s="34"/>
      <c r="M236" s="34"/>
      <c r="N236" s="34">
        <f>AVERAGE(N224:N235)</f>
        <v>5.4710992999999997</v>
      </c>
      <c r="O236" s="34">
        <f>AVERAGE(O224:O235)</f>
        <v>39.576595800000007</v>
      </c>
    </row>
    <row r="237" spans="1:15" x14ac:dyDescent="0.3">
      <c r="A237" s="19">
        <v>44549</v>
      </c>
      <c r="B237" s="20">
        <v>0.27083333333333331</v>
      </c>
      <c r="C237" s="21">
        <v>37.9</v>
      </c>
      <c r="D237" s="22">
        <v>31.1</v>
      </c>
      <c r="E237" s="7">
        <v>26</v>
      </c>
      <c r="F237" s="11">
        <f t="shared" si="37"/>
        <v>6.7999999999999972</v>
      </c>
      <c r="G237" s="23">
        <f t="shared" si="42"/>
        <v>5.1000000000000014</v>
      </c>
      <c r="H237" s="24">
        <f t="shared" si="43"/>
        <v>57.142857142857132</v>
      </c>
      <c r="I237" s="25">
        <v>3237</v>
      </c>
      <c r="J237" s="26">
        <f t="shared" si="38"/>
        <v>6.7999999999999972</v>
      </c>
      <c r="K237" s="21">
        <f t="shared" si="39"/>
        <v>33.677747999999987</v>
      </c>
      <c r="L237" s="27">
        <v>1.75</v>
      </c>
      <c r="M237" s="28">
        <v>5</v>
      </c>
      <c r="N237" s="29">
        <f t="shared" si="40"/>
        <v>5.735549599999997</v>
      </c>
      <c r="O237" s="30">
        <f t="shared" si="41"/>
        <v>41.163297599999986</v>
      </c>
    </row>
    <row r="238" spans="1:15" x14ac:dyDescent="0.3">
      <c r="A238" s="19"/>
      <c r="B238" s="20">
        <v>0.35416666666666669</v>
      </c>
      <c r="C238" s="21">
        <v>37.5</v>
      </c>
      <c r="D238" s="22">
        <v>30.9</v>
      </c>
      <c r="E238" s="7">
        <v>26</v>
      </c>
      <c r="F238" s="11">
        <f t="shared" si="37"/>
        <v>6.6000000000000014</v>
      </c>
      <c r="G238" s="23">
        <f t="shared" si="42"/>
        <v>4.8999999999999986</v>
      </c>
      <c r="H238" s="24">
        <f t="shared" si="43"/>
        <v>57.3913043478261</v>
      </c>
      <c r="I238" s="25">
        <v>3176</v>
      </c>
      <c r="J238" s="26">
        <f t="shared" si="38"/>
        <v>6.6000000000000014</v>
      </c>
      <c r="K238" s="21">
        <f t="shared" si="39"/>
        <v>32.071248000000004</v>
      </c>
      <c r="L238" s="27">
        <v>1.75</v>
      </c>
      <c r="M238" s="28">
        <v>5</v>
      </c>
      <c r="N238" s="29">
        <f t="shared" si="40"/>
        <v>5.4142496000000007</v>
      </c>
      <c r="O238" s="30">
        <f t="shared" si="41"/>
        <v>39.235497600000002</v>
      </c>
    </row>
    <row r="239" spans="1:15" x14ac:dyDescent="0.3">
      <c r="A239" s="19"/>
      <c r="B239" s="20">
        <v>0.4375</v>
      </c>
      <c r="C239" s="21">
        <v>38.4</v>
      </c>
      <c r="D239" s="22">
        <v>31.5</v>
      </c>
      <c r="E239" s="7">
        <v>26</v>
      </c>
      <c r="F239" s="11">
        <f t="shared" si="37"/>
        <v>6.8999999999999986</v>
      </c>
      <c r="G239" s="23">
        <f t="shared" si="42"/>
        <v>5.5</v>
      </c>
      <c r="H239" s="24">
        <f t="shared" si="43"/>
        <v>55.645161290322577</v>
      </c>
      <c r="I239" s="25">
        <v>3151</v>
      </c>
      <c r="J239" s="26">
        <f t="shared" si="38"/>
        <v>6.8999999999999986</v>
      </c>
      <c r="K239" s="21">
        <f t="shared" si="39"/>
        <v>33.265106999999986</v>
      </c>
      <c r="L239" s="27">
        <v>1.75</v>
      </c>
      <c r="M239" s="28">
        <v>5</v>
      </c>
      <c r="N239" s="29">
        <f t="shared" si="40"/>
        <v>5.6530213999999974</v>
      </c>
      <c r="O239" s="30">
        <f t="shared" si="41"/>
        <v>40.668128399999986</v>
      </c>
    </row>
    <row r="240" spans="1:15" x14ac:dyDescent="0.3">
      <c r="A240" s="19"/>
      <c r="B240" s="20">
        <v>0.52083333333333337</v>
      </c>
      <c r="C240" s="21">
        <v>39.6</v>
      </c>
      <c r="D240" s="22">
        <v>32.4</v>
      </c>
      <c r="E240" s="7">
        <v>26</v>
      </c>
      <c r="F240" s="11">
        <f t="shared" si="37"/>
        <v>7.2000000000000028</v>
      </c>
      <c r="G240" s="23">
        <f t="shared" si="42"/>
        <v>6.3999999999999986</v>
      </c>
      <c r="H240" s="24">
        <f t="shared" si="43"/>
        <v>52.941176470588246</v>
      </c>
      <c r="I240" s="25">
        <v>3113</v>
      </c>
      <c r="J240" s="26">
        <f t="shared" si="38"/>
        <v>7.2000000000000028</v>
      </c>
      <c r="K240" s="21">
        <f t="shared" si="39"/>
        <v>34.292808000000008</v>
      </c>
      <c r="L240" s="27">
        <v>1.75</v>
      </c>
      <c r="M240" s="28">
        <v>5</v>
      </c>
      <c r="N240" s="29">
        <f t="shared" si="40"/>
        <v>5.8585616000000016</v>
      </c>
      <c r="O240" s="30">
        <f t="shared" si="41"/>
        <v>41.90136960000001</v>
      </c>
    </row>
    <row r="241" spans="1:15" x14ac:dyDescent="0.3">
      <c r="A241" s="19"/>
      <c r="B241" s="20">
        <v>0.60416666666666663</v>
      </c>
      <c r="C241" s="21">
        <v>39.5</v>
      </c>
      <c r="D241" s="22">
        <v>32.6</v>
      </c>
      <c r="E241" s="7">
        <v>26</v>
      </c>
      <c r="F241" s="11">
        <f t="shared" si="37"/>
        <v>6.8999999999999986</v>
      </c>
      <c r="G241" s="23">
        <f t="shared" si="42"/>
        <v>6.6000000000000014</v>
      </c>
      <c r="H241" s="24">
        <f t="shared" si="43"/>
        <v>51.111111111111093</v>
      </c>
      <c r="I241" s="25">
        <v>3152</v>
      </c>
      <c r="J241" s="26">
        <f t="shared" si="38"/>
        <v>6.8999999999999986</v>
      </c>
      <c r="K241" s="21">
        <f t="shared" si="39"/>
        <v>33.275663999999985</v>
      </c>
      <c r="L241" s="27">
        <v>1.75</v>
      </c>
      <c r="M241" s="28">
        <v>5</v>
      </c>
      <c r="N241" s="29">
        <f t="shared" si="40"/>
        <v>5.655132799999997</v>
      </c>
      <c r="O241" s="30">
        <f t="shared" si="41"/>
        <v>40.680796799999982</v>
      </c>
    </row>
    <row r="242" spans="1:15" x14ac:dyDescent="0.3">
      <c r="A242" s="19"/>
      <c r="B242" s="20">
        <v>0.6875</v>
      </c>
      <c r="C242" s="21">
        <v>39.700000000000003</v>
      </c>
      <c r="D242" s="22">
        <v>32.5</v>
      </c>
      <c r="E242" s="7">
        <v>26</v>
      </c>
      <c r="F242" s="11">
        <f t="shared" si="37"/>
        <v>7.2000000000000028</v>
      </c>
      <c r="G242" s="23">
        <f t="shared" si="42"/>
        <v>6.5</v>
      </c>
      <c r="H242" s="24">
        <f t="shared" si="43"/>
        <v>52.554744525547456</v>
      </c>
      <c r="I242" s="25">
        <v>3192</v>
      </c>
      <c r="J242" s="26">
        <f t="shared" si="38"/>
        <v>7.2000000000000028</v>
      </c>
      <c r="K242" s="21">
        <f t="shared" si="39"/>
        <v>35.163072000000014</v>
      </c>
      <c r="L242" s="27">
        <v>1.75</v>
      </c>
      <c r="M242" s="28">
        <v>5</v>
      </c>
      <c r="N242" s="29">
        <f t="shared" si="40"/>
        <v>6.0326144000000026</v>
      </c>
      <c r="O242" s="30">
        <f t="shared" si="41"/>
        <v>42.945686400000014</v>
      </c>
    </row>
    <row r="243" spans="1:15" x14ac:dyDescent="0.3">
      <c r="A243" s="19"/>
      <c r="B243" s="20">
        <v>0.77083333333333337</v>
      </c>
      <c r="C243" s="21">
        <v>39.9</v>
      </c>
      <c r="D243" s="22">
        <v>32.700000000000003</v>
      </c>
      <c r="E243" s="7">
        <v>26</v>
      </c>
      <c r="F243" s="11">
        <f t="shared" si="37"/>
        <v>7.1999999999999957</v>
      </c>
      <c r="G243" s="23">
        <f t="shared" si="42"/>
        <v>6.7000000000000028</v>
      </c>
      <c r="H243" s="24">
        <f t="shared" si="43"/>
        <v>51.798561151079113</v>
      </c>
      <c r="I243" s="25">
        <v>3160</v>
      </c>
      <c r="J243" s="26">
        <f t="shared" si="38"/>
        <v>7.1999999999999957</v>
      </c>
      <c r="K243" s="21">
        <f t="shared" si="39"/>
        <v>34.810559999999974</v>
      </c>
      <c r="L243" s="27">
        <v>1.75</v>
      </c>
      <c r="M243" s="28">
        <v>5</v>
      </c>
      <c r="N243" s="29">
        <f t="shared" si="40"/>
        <v>5.962111999999995</v>
      </c>
      <c r="O243" s="30">
        <f t="shared" si="41"/>
        <v>42.522671999999972</v>
      </c>
    </row>
    <row r="244" spans="1:15" x14ac:dyDescent="0.3">
      <c r="A244" s="19"/>
      <c r="B244" s="20">
        <v>0.85416666666666663</v>
      </c>
      <c r="C244" s="32">
        <v>40.1</v>
      </c>
      <c r="D244" s="22">
        <v>33.1</v>
      </c>
      <c r="E244" s="7">
        <v>26</v>
      </c>
      <c r="F244" s="11">
        <f t="shared" si="37"/>
        <v>7</v>
      </c>
      <c r="G244" s="23">
        <f t="shared" si="42"/>
        <v>7.1000000000000014</v>
      </c>
      <c r="H244" s="24">
        <f t="shared" si="43"/>
        <v>49.645390070921977</v>
      </c>
      <c r="I244" s="25">
        <v>3110</v>
      </c>
      <c r="J244" s="26">
        <f t="shared" si="38"/>
        <v>7</v>
      </c>
      <c r="K244" s="21">
        <f t="shared" si="39"/>
        <v>33.308099999999996</v>
      </c>
      <c r="L244" s="27">
        <v>1.75</v>
      </c>
      <c r="M244" s="28">
        <v>5</v>
      </c>
      <c r="N244" s="29">
        <f t="shared" si="40"/>
        <v>5.6616199999999992</v>
      </c>
      <c r="O244" s="30">
        <f t="shared" si="41"/>
        <v>40.719719999999995</v>
      </c>
    </row>
    <row r="245" spans="1:15" x14ac:dyDescent="0.3">
      <c r="A245" s="19"/>
      <c r="B245" s="20">
        <v>0.9375</v>
      </c>
      <c r="C245" s="21">
        <v>39.299999999999997</v>
      </c>
      <c r="D245" s="22">
        <v>32.4</v>
      </c>
      <c r="E245" s="7">
        <v>26</v>
      </c>
      <c r="F245" s="11">
        <f t="shared" si="37"/>
        <v>6.8999999999999986</v>
      </c>
      <c r="G245" s="23">
        <f t="shared" si="42"/>
        <v>6.3999999999999986</v>
      </c>
      <c r="H245" s="24">
        <f t="shared" si="43"/>
        <v>51.879699248120303</v>
      </c>
      <c r="I245" s="25">
        <v>3197</v>
      </c>
      <c r="J245" s="26">
        <f t="shared" si="38"/>
        <v>6.8999999999999986</v>
      </c>
      <c r="K245" s="21">
        <f t="shared" si="39"/>
        <v>33.750728999999993</v>
      </c>
      <c r="L245" s="27">
        <v>1.75</v>
      </c>
      <c r="M245" s="28">
        <v>5</v>
      </c>
      <c r="N245" s="29">
        <f t="shared" si="40"/>
        <v>5.7501457999999985</v>
      </c>
      <c r="O245" s="30">
        <f t="shared" si="41"/>
        <v>41.250874799999991</v>
      </c>
    </row>
    <row r="246" spans="1:15" x14ac:dyDescent="0.3">
      <c r="A246" s="19"/>
      <c r="B246" s="20">
        <v>2.0833333333333332E-2</v>
      </c>
      <c r="C246" s="21">
        <v>38.700000000000003</v>
      </c>
      <c r="D246" s="22">
        <v>32</v>
      </c>
      <c r="E246" s="7">
        <v>26</v>
      </c>
      <c r="F246" s="11">
        <f t="shared" si="37"/>
        <v>6.7000000000000028</v>
      </c>
      <c r="G246" s="23">
        <f t="shared" si="42"/>
        <v>6</v>
      </c>
      <c r="H246" s="24">
        <f t="shared" si="43"/>
        <v>52.755905511811029</v>
      </c>
      <c r="I246" s="25">
        <v>3143</v>
      </c>
      <c r="J246" s="26">
        <f t="shared" si="38"/>
        <v>6.7000000000000028</v>
      </c>
      <c r="K246" s="21">
        <f t="shared" si="39"/>
        <v>32.218893000000008</v>
      </c>
      <c r="L246" s="27">
        <v>1.75</v>
      </c>
      <c r="M246" s="28">
        <v>5</v>
      </c>
      <c r="N246" s="29">
        <f t="shared" si="40"/>
        <v>5.4437786000000017</v>
      </c>
      <c r="O246" s="30">
        <f t="shared" si="41"/>
        <v>39.41267160000001</v>
      </c>
    </row>
    <row r="247" spans="1:15" x14ac:dyDescent="0.3">
      <c r="A247" s="19"/>
      <c r="B247" s="20">
        <v>0.10416666666666667</v>
      </c>
      <c r="C247" s="21">
        <v>38.700000000000003</v>
      </c>
      <c r="D247" s="22">
        <v>31.8</v>
      </c>
      <c r="E247" s="7">
        <v>26</v>
      </c>
      <c r="F247" s="11">
        <f t="shared" ref="F247:G310" si="44">C247-D247</f>
        <v>6.9000000000000021</v>
      </c>
      <c r="G247" s="23">
        <f t="shared" si="42"/>
        <v>5.8000000000000007</v>
      </c>
      <c r="H247" s="24">
        <f t="shared" si="43"/>
        <v>54.330708661417326</v>
      </c>
      <c r="I247" s="25">
        <v>3119</v>
      </c>
      <c r="J247" s="26">
        <f t="shared" si="38"/>
        <v>6.9000000000000021</v>
      </c>
      <c r="K247" s="21">
        <f t="shared" si="39"/>
        <v>32.927283000000003</v>
      </c>
      <c r="L247" s="27">
        <v>1.75</v>
      </c>
      <c r="M247" s="28">
        <v>5</v>
      </c>
      <c r="N247" s="29">
        <f t="shared" si="40"/>
        <v>5.5854566000000005</v>
      </c>
      <c r="O247" s="30">
        <f t="shared" si="41"/>
        <v>40.262739600000003</v>
      </c>
    </row>
    <row r="248" spans="1:15" x14ac:dyDescent="0.3">
      <c r="A248" s="19"/>
      <c r="B248" s="20">
        <v>0.1875</v>
      </c>
      <c r="C248" s="21">
        <v>38.299999999999997</v>
      </c>
      <c r="D248" s="35">
        <v>31.6</v>
      </c>
      <c r="E248" s="7">
        <v>26</v>
      </c>
      <c r="F248" s="11">
        <f t="shared" si="44"/>
        <v>6.6999999999999957</v>
      </c>
      <c r="G248" s="23">
        <f t="shared" si="42"/>
        <v>5.6000000000000014</v>
      </c>
      <c r="H248" s="24">
        <f t="shared" si="43"/>
        <v>54.471544715447131</v>
      </c>
      <c r="I248" s="25">
        <v>3046</v>
      </c>
      <c r="J248" s="26">
        <f t="shared" si="38"/>
        <v>6.6999999999999957</v>
      </c>
      <c r="K248" s="21">
        <f t="shared" si="39"/>
        <v>31.224545999999979</v>
      </c>
      <c r="L248" s="27">
        <v>1.75</v>
      </c>
      <c r="M248" s="28">
        <v>5</v>
      </c>
      <c r="N248" s="29">
        <f t="shared" si="40"/>
        <v>5.2449091999999959</v>
      </c>
      <c r="O248" s="30">
        <f t="shared" si="41"/>
        <v>38.21945519999997</v>
      </c>
    </row>
    <row r="249" spans="1:15" s="3" customFormat="1" x14ac:dyDescent="0.3">
      <c r="A249" s="34"/>
      <c r="B249" s="34"/>
      <c r="C249" s="34"/>
      <c r="D249" s="34"/>
      <c r="E249" s="34"/>
      <c r="F249" s="34"/>
      <c r="G249" s="34" t="s">
        <v>8</v>
      </c>
      <c r="H249" s="34">
        <f>AVERAGE(H237:H248)</f>
        <v>53.472347020587456</v>
      </c>
      <c r="I249" s="34"/>
      <c r="J249" s="34"/>
      <c r="K249" s="34">
        <f>AVERAGE(K237:K248)</f>
        <v>33.332146499999986</v>
      </c>
      <c r="L249" s="34"/>
      <c r="M249" s="34"/>
      <c r="N249" s="34">
        <f>AVERAGE(N237:N248)</f>
        <v>5.6664292999999999</v>
      </c>
      <c r="O249" s="34">
        <f>AVERAGE(O237:O248)</f>
        <v>40.74857579999999</v>
      </c>
    </row>
    <row r="250" spans="1:15" x14ac:dyDescent="0.3">
      <c r="A250" s="19">
        <v>44550</v>
      </c>
      <c r="B250" s="20">
        <v>0.27083333333333331</v>
      </c>
      <c r="C250" s="21">
        <v>38</v>
      </c>
      <c r="D250" s="22">
        <v>31</v>
      </c>
      <c r="E250" s="7">
        <v>26</v>
      </c>
      <c r="F250" s="11">
        <f t="shared" si="44"/>
        <v>7</v>
      </c>
      <c r="G250" s="23">
        <f t="shared" si="42"/>
        <v>5</v>
      </c>
      <c r="H250" s="24">
        <f t="shared" si="43"/>
        <v>58.333333333333336</v>
      </c>
      <c r="I250" s="25">
        <v>3219</v>
      </c>
      <c r="J250" s="26">
        <f t="shared" si="38"/>
        <v>7</v>
      </c>
      <c r="K250" s="21">
        <f t="shared" si="39"/>
        <v>34.475490000000001</v>
      </c>
      <c r="L250" s="27">
        <v>1.75</v>
      </c>
      <c r="M250" s="28">
        <v>5</v>
      </c>
      <c r="N250" s="29">
        <f t="shared" si="40"/>
        <v>5.8950979999999999</v>
      </c>
      <c r="O250" s="30">
        <f t="shared" si="41"/>
        <v>42.120587999999998</v>
      </c>
    </row>
    <row r="251" spans="1:15" x14ac:dyDescent="0.3">
      <c r="A251" s="19"/>
      <c r="B251" s="20">
        <v>0.35416666666666669</v>
      </c>
      <c r="C251" s="21">
        <v>38.9</v>
      </c>
      <c r="D251" s="22">
        <v>31.8</v>
      </c>
      <c r="E251" s="7">
        <v>26</v>
      </c>
      <c r="F251" s="11">
        <f t="shared" si="44"/>
        <v>7.0999999999999979</v>
      </c>
      <c r="G251" s="23">
        <f t="shared" si="42"/>
        <v>5.8000000000000007</v>
      </c>
      <c r="H251" s="24">
        <f t="shared" si="43"/>
        <v>55.038759689922465</v>
      </c>
      <c r="I251" s="25">
        <v>3011</v>
      </c>
      <c r="J251" s="26">
        <f t="shared" si="38"/>
        <v>7.0999999999999979</v>
      </c>
      <c r="K251" s="21">
        <f t="shared" si="39"/>
        <v>32.70849299999999</v>
      </c>
      <c r="L251" s="27">
        <v>1.75</v>
      </c>
      <c r="M251" s="28">
        <v>5</v>
      </c>
      <c r="N251" s="29">
        <f t="shared" si="40"/>
        <v>5.5416985999999984</v>
      </c>
      <c r="O251" s="30">
        <f t="shared" si="41"/>
        <v>40.000191599999987</v>
      </c>
    </row>
    <row r="252" spans="1:15" x14ac:dyDescent="0.3">
      <c r="A252" s="19"/>
      <c r="B252" s="20">
        <v>0.4375</v>
      </c>
      <c r="C252" s="21">
        <v>39.700000000000003</v>
      </c>
      <c r="D252" s="22">
        <v>32.6</v>
      </c>
      <c r="E252" s="7">
        <v>26</v>
      </c>
      <c r="F252" s="11">
        <f t="shared" si="44"/>
        <v>7.1000000000000014</v>
      </c>
      <c r="G252" s="23">
        <f t="shared" si="42"/>
        <v>6.6000000000000014</v>
      </c>
      <c r="H252" s="24">
        <f t="shared" si="43"/>
        <v>51.824817518248182</v>
      </c>
      <c r="I252" s="25">
        <v>3114</v>
      </c>
      <c r="J252" s="26">
        <f t="shared" si="38"/>
        <v>7.1000000000000014</v>
      </c>
      <c r="K252" s="21">
        <f t="shared" si="39"/>
        <v>33.827382</v>
      </c>
      <c r="L252" s="27">
        <v>1.75</v>
      </c>
      <c r="M252" s="28">
        <v>5</v>
      </c>
      <c r="N252" s="29">
        <f t="shared" si="40"/>
        <v>5.7654763999999998</v>
      </c>
      <c r="O252" s="30">
        <f t="shared" si="41"/>
        <v>41.342858399999997</v>
      </c>
    </row>
    <row r="253" spans="1:15" x14ac:dyDescent="0.3">
      <c r="A253" s="19"/>
      <c r="B253" s="20">
        <v>0.52083333333333337</v>
      </c>
      <c r="C253" s="21">
        <v>39.700000000000003</v>
      </c>
      <c r="D253" s="22">
        <v>33</v>
      </c>
      <c r="E253" s="7">
        <v>26</v>
      </c>
      <c r="F253" s="11">
        <f t="shared" si="44"/>
        <v>6.7000000000000028</v>
      </c>
      <c r="G253" s="23">
        <f t="shared" si="42"/>
        <v>7</v>
      </c>
      <c r="H253" s="24">
        <f t="shared" si="43"/>
        <v>48.905109489051107</v>
      </c>
      <c r="I253" s="25">
        <v>3212</v>
      </c>
      <c r="J253" s="26">
        <f t="shared" si="38"/>
        <v>6.7000000000000028</v>
      </c>
      <c r="K253" s="21">
        <f t="shared" si="39"/>
        <v>32.926212000000007</v>
      </c>
      <c r="L253" s="27">
        <v>1.75</v>
      </c>
      <c r="M253" s="28">
        <v>5</v>
      </c>
      <c r="N253" s="29">
        <f t="shared" si="40"/>
        <v>5.5852424000000012</v>
      </c>
      <c r="O253" s="30">
        <f t="shared" si="41"/>
        <v>40.261454400000005</v>
      </c>
    </row>
    <row r="254" spans="1:15" x14ac:dyDescent="0.3">
      <c r="A254" s="19"/>
      <c r="B254" s="20">
        <v>0.60416666666666663</v>
      </c>
      <c r="C254" s="21">
        <v>39.9</v>
      </c>
      <c r="D254" s="22">
        <v>32.799999999999997</v>
      </c>
      <c r="E254" s="7">
        <v>26</v>
      </c>
      <c r="F254" s="11">
        <f t="shared" si="44"/>
        <v>7.1000000000000014</v>
      </c>
      <c r="G254" s="23">
        <f t="shared" si="42"/>
        <v>6.7999999999999972</v>
      </c>
      <c r="H254" s="24">
        <f t="shared" si="43"/>
        <v>51.079136690647495</v>
      </c>
      <c r="I254" s="25">
        <v>3073</v>
      </c>
      <c r="J254" s="26">
        <f t="shared" si="38"/>
        <v>7.1000000000000014</v>
      </c>
      <c r="K254" s="21">
        <f t="shared" si="39"/>
        <v>33.381999</v>
      </c>
      <c r="L254" s="27">
        <v>1.75</v>
      </c>
      <c r="M254" s="28">
        <v>5</v>
      </c>
      <c r="N254" s="29">
        <f t="shared" si="40"/>
        <v>5.6763998000000004</v>
      </c>
      <c r="O254" s="30">
        <f t="shared" si="41"/>
        <v>40.808398799999999</v>
      </c>
    </row>
    <row r="255" spans="1:15" x14ac:dyDescent="0.3">
      <c r="A255" s="19"/>
      <c r="B255" s="20">
        <v>0.6875</v>
      </c>
      <c r="C255" s="21">
        <v>39.799999999999997</v>
      </c>
      <c r="D255" s="22">
        <v>32.9</v>
      </c>
      <c r="E255" s="7">
        <v>26</v>
      </c>
      <c r="F255" s="11">
        <f t="shared" si="44"/>
        <v>6.8999999999999986</v>
      </c>
      <c r="G255" s="23">
        <f t="shared" si="42"/>
        <v>6.8999999999999986</v>
      </c>
      <c r="H255" s="24">
        <f t="shared" si="43"/>
        <v>50</v>
      </c>
      <c r="I255" s="25">
        <v>3144</v>
      </c>
      <c r="J255" s="26">
        <f t="shared" si="38"/>
        <v>6.8999999999999986</v>
      </c>
      <c r="K255" s="21">
        <f t="shared" si="39"/>
        <v>33.191207999999996</v>
      </c>
      <c r="L255" s="27">
        <v>1.75</v>
      </c>
      <c r="M255" s="28">
        <v>5</v>
      </c>
      <c r="N255" s="29">
        <f t="shared" si="40"/>
        <v>5.6382415999999989</v>
      </c>
      <c r="O255" s="30">
        <f t="shared" si="41"/>
        <v>40.579449599999997</v>
      </c>
    </row>
    <row r="256" spans="1:15" x14ac:dyDescent="0.3">
      <c r="A256" s="19"/>
      <c r="B256" s="20">
        <v>0.77083333333333337</v>
      </c>
      <c r="C256" s="21"/>
      <c r="D256" s="22"/>
      <c r="E256" s="7">
        <v>26</v>
      </c>
      <c r="F256" s="11"/>
      <c r="G256" s="23"/>
      <c r="H256" s="24"/>
      <c r="I256" s="25"/>
      <c r="J256" s="26">
        <f t="shared" si="38"/>
        <v>0</v>
      </c>
      <c r="K256" s="21">
        <f t="shared" si="39"/>
        <v>0</v>
      </c>
      <c r="L256" s="27">
        <v>1.75</v>
      </c>
      <c r="M256" s="28">
        <v>5</v>
      </c>
      <c r="N256" s="29">
        <f t="shared" si="40"/>
        <v>-1</v>
      </c>
      <c r="O256" s="30">
        <f t="shared" si="41"/>
        <v>0.75</v>
      </c>
    </row>
    <row r="257" spans="1:15" x14ac:dyDescent="0.3">
      <c r="A257" s="19"/>
      <c r="B257" s="20">
        <v>0.85416666666666663</v>
      </c>
      <c r="C257" s="32">
        <v>39.200000000000003</v>
      </c>
      <c r="D257" s="22">
        <v>32.299999999999997</v>
      </c>
      <c r="E257" s="7">
        <v>26</v>
      </c>
      <c r="F257" s="11">
        <f t="shared" si="44"/>
        <v>6.9000000000000057</v>
      </c>
      <c r="G257" s="23">
        <f t="shared" si="42"/>
        <v>6.2999999999999972</v>
      </c>
      <c r="H257" s="24">
        <f t="shared" si="43"/>
        <v>52.272727272727302</v>
      </c>
      <c r="I257" s="25">
        <v>3095</v>
      </c>
      <c r="J257" s="26">
        <f t="shared" si="38"/>
        <v>6.9000000000000057</v>
      </c>
      <c r="K257" s="21">
        <f t="shared" si="39"/>
        <v>32.673915000000022</v>
      </c>
      <c r="L257" s="27">
        <v>1.75</v>
      </c>
      <c r="M257" s="28">
        <v>5</v>
      </c>
      <c r="N257" s="29">
        <f t="shared" si="40"/>
        <v>5.5347830000000044</v>
      </c>
      <c r="O257" s="30">
        <f t="shared" si="41"/>
        <v>39.958698000000027</v>
      </c>
    </row>
    <row r="258" spans="1:15" x14ac:dyDescent="0.3">
      <c r="A258" s="19"/>
      <c r="B258" s="20">
        <v>0.9375</v>
      </c>
      <c r="C258" s="21">
        <v>38.5</v>
      </c>
      <c r="D258" s="22">
        <v>31.7</v>
      </c>
      <c r="E258" s="7">
        <v>26</v>
      </c>
      <c r="F258" s="11">
        <f t="shared" si="44"/>
        <v>6.8000000000000007</v>
      </c>
      <c r="G258" s="23">
        <f t="shared" si="42"/>
        <v>5.6999999999999993</v>
      </c>
      <c r="H258" s="24">
        <f t="shared" si="43"/>
        <v>54.400000000000006</v>
      </c>
      <c r="I258" s="25">
        <v>3088</v>
      </c>
      <c r="J258" s="26">
        <f t="shared" si="38"/>
        <v>6.8000000000000007</v>
      </c>
      <c r="K258" s="21">
        <f t="shared" si="39"/>
        <v>32.127552000000001</v>
      </c>
      <c r="L258" s="27">
        <v>1.75</v>
      </c>
      <c r="M258" s="28">
        <v>5</v>
      </c>
      <c r="N258" s="29">
        <f t="shared" si="40"/>
        <v>5.4255104000000003</v>
      </c>
      <c r="O258" s="30">
        <f t="shared" si="41"/>
        <v>39.303062400000002</v>
      </c>
    </row>
    <row r="259" spans="1:15" x14ac:dyDescent="0.3">
      <c r="A259" s="19"/>
      <c r="B259" s="20">
        <v>2.0833333333333332E-2</v>
      </c>
      <c r="C259" s="21">
        <v>39.1</v>
      </c>
      <c r="D259" s="22">
        <v>31.9</v>
      </c>
      <c r="E259" s="7">
        <v>26</v>
      </c>
      <c r="F259" s="11">
        <f t="shared" si="44"/>
        <v>7.2000000000000028</v>
      </c>
      <c r="G259" s="23">
        <f t="shared" si="42"/>
        <v>5.8999999999999986</v>
      </c>
      <c r="H259" s="24">
        <f t="shared" si="43"/>
        <v>54.961832061068719</v>
      </c>
      <c r="I259" s="25">
        <v>3108</v>
      </c>
      <c r="J259" s="26">
        <f t="shared" si="38"/>
        <v>7.2000000000000028</v>
      </c>
      <c r="K259" s="21">
        <f t="shared" si="39"/>
        <v>34.237728000000011</v>
      </c>
      <c r="L259" s="27">
        <v>1.75</v>
      </c>
      <c r="M259" s="28">
        <v>5</v>
      </c>
      <c r="N259" s="29">
        <f t="shared" si="40"/>
        <v>5.8475456000000019</v>
      </c>
      <c r="O259" s="30">
        <f t="shared" si="41"/>
        <v>41.835273600000015</v>
      </c>
    </row>
    <row r="260" spans="1:15" x14ac:dyDescent="0.3">
      <c r="A260" s="19"/>
      <c r="B260" s="20">
        <v>0.10416666666666667</v>
      </c>
      <c r="C260" s="21">
        <v>39.1</v>
      </c>
      <c r="D260" s="22">
        <v>31.8</v>
      </c>
      <c r="E260" s="7">
        <v>26</v>
      </c>
      <c r="F260" s="11">
        <f t="shared" si="44"/>
        <v>7.3000000000000007</v>
      </c>
      <c r="G260" s="23">
        <f t="shared" si="42"/>
        <v>5.8000000000000007</v>
      </c>
      <c r="H260" s="24">
        <f t="shared" si="43"/>
        <v>55.725190839694662</v>
      </c>
      <c r="I260" s="25">
        <v>3179</v>
      </c>
      <c r="J260" s="26">
        <f t="shared" ref="J260:J323" si="45">C260-D260</f>
        <v>7.3000000000000007</v>
      </c>
      <c r="K260" s="21">
        <f t="shared" ref="K260:K323" si="46">0.00085*1.8*I260*J260</f>
        <v>35.506250999999999</v>
      </c>
      <c r="L260" s="27">
        <v>1.75</v>
      </c>
      <c r="M260" s="28">
        <v>5</v>
      </c>
      <c r="N260" s="29">
        <f t="shared" ref="N260:N323" si="47">K260/M260-1</f>
        <v>6.1012502</v>
      </c>
      <c r="O260" s="30">
        <f t="shared" ref="O260:O323" si="48">K260+L260+N260</f>
        <v>43.357501200000002</v>
      </c>
    </row>
    <row r="261" spans="1:15" x14ac:dyDescent="0.3">
      <c r="A261" s="19"/>
      <c r="B261" s="20">
        <v>0.1875</v>
      </c>
      <c r="C261" s="21">
        <v>37.9</v>
      </c>
      <c r="D261" s="35">
        <v>31</v>
      </c>
      <c r="E261" s="7">
        <v>26</v>
      </c>
      <c r="F261" s="11">
        <f t="shared" si="44"/>
        <v>6.8999999999999986</v>
      </c>
      <c r="G261" s="23">
        <f t="shared" si="42"/>
        <v>5</v>
      </c>
      <c r="H261" s="24">
        <f t="shared" si="43"/>
        <v>57.983193277310917</v>
      </c>
      <c r="I261" s="25">
        <v>3124</v>
      </c>
      <c r="J261" s="26">
        <f t="shared" si="45"/>
        <v>6.8999999999999986</v>
      </c>
      <c r="K261" s="21">
        <f t="shared" si="46"/>
        <v>32.980067999999989</v>
      </c>
      <c r="L261" s="27">
        <v>1.75</v>
      </c>
      <c r="M261" s="28">
        <v>5</v>
      </c>
      <c r="N261" s="29">
        <f t="shared" si="47"/>
        <v>5.5960135999999974</v>
      </c>
      <c r="O261" s="30">
        <f t="shared" si="48"/>
        <v>40.326081599999988</v>
      </c>
    </row>
    <row r="262" spans="1:15" s="3" customFormat="1" x14ac:dyDescent="0.3">
      <c r="A262" s="34"/>
      <c r="B262" s="34"/>
      <c r="C262" s="34"/>
      <c r="D262" s="34"/>
      <c r="E262" s="34"/>
      <c r="F262" s="34"/>
      <c r="G262" s="34" t="s">
        <v>8</v>
      </c>
      <c r="H262" s="34">
        <f>AVERAGE(H250:H261)</f>
        <v>53.684009106545837</v>
      </c>
      <c r="I262" s="34"/>
      <c r="J262" s="34"/>
      <c r="K262" s="34">
        <f>AVERAGE(K250:K261)</f>
        <v>30.669691499999999</v>
      </c>
      <c r="L262" s="34"/>
      <c r="M262" s="34"/>
      <c r="N262" s="34">
        <f>AVERAGE(N250:N261)</f>
        <v>5.1339383000000014</v>
      </c>
      <c r="O262" s="34">
        <f>AVERAGE(O250:O261)</f>
        <v>37.553629800000003</v>
      </c>
    </row>
    <row r="263" spans="1:15" x14ac:dyDescent="0.3">
      <c r="A263" s="19">
        <v>44551</v>
      </c>
      <c r="B263" s="20">
        <v>0.27083333333333331</v>
      </c>
      <c r="C263" s="21">
        <v>37.700000000000003</v>
      </c>
      <c r="D263" s="22">
        <v>30.6</v>
      </c>
      <c r="E263" s="7">
        <v>26</v>
      </c>
      <c r="F263" s="11">
        <f t="shared" si="44"/>
        <v>7.1000000000000014</v>
      </c>
      <c r="G263" s="23">
        <f t="shared" si="42"/>
        <v>4.6000000000000014</v>
      </c>
      <c r="H263" s="24">
        <f t="shared" si="43"/>
        <v>60.683760683760681</v>
      </c>
      <c r="I263" s="25">
        <v>3183</v>
      </c>
      <c r="J263" s="26">
        <f t="shared" si="45"/>
        <v>7.1000000000000014</v>
      </c>
      <c r="K263" s="21">
        <f t="shared" si="46"/>
        <v>34.576929000000007</v>
      </c>
      <c r="L263" s="27">
        <v>1.75</v>
      </c>
      <c r="M263" s="28">
        <v>5</v>
      </c>
      <c r="N263" s="29">
        <f t="shared" si="47"/>
        <v>5.915385800000001</v>
      </c>
      <c r="O263" s="30">
        <f t="shared" si="48"/>
        <v>42.24231480000001</v>
      </c>
    </row>
    <row r="264" spans="1:15" x14ac:dyDescent="0.3">
      <c r="A264" s="19"/>
      <c r="B264" s="20">
        <v>0.35416666666666669</v>
      </c>
      <c r="C264" s="21">
        <v>37.200000000000003</v>
      </c>
      <c r="D264" s="22">
        <v>30.2</v>
      </c>
      <c r="E264" s="7">
        <v>26</v>
      </c>
      <c r="F264" s="11">
        <f t="shared" si="44"/>
        <v>7.0000000000000036</v>
      </c>
      <c r="G264" s="23">
        <f t="shared" si="44"/>
        <v>4.1999999999999993</v>
      </c>
      <c r="H264" s="24">
        <f t="shared" si="43"/>
        <v>62.500000000000014</v>
      </c>
      <c r="I264" s="25">
        <v>3143</v>
      </c>
      <c r="J264" s="26">
        <f t="shared" si="45"/>
        <v>7.0000000000000036</v>
      </c>
      <c r="K264" s="21">
        <f t="shared" si="46"/>
        <v>33.661530000000013</v>
      </c>
      <c r="L264" s="27">
        <v>1.75</v>
      </c>
      <c r="M264" s="28">
        <v>5</v>
      </c>
      <c r="N264" s="29">
        <f t="shared" si="47"/>
        <v>5.732306000000003</v>
      </c>
      <c r="O264" s="30">
        <f t="shared" si="48"/>
        <v>41.143836000000015</v>
      </c>
    </row>
    <row r="265" spans="1:15" x14ac:dyDescent="0.3">
      <c r="A265" s="19"/>
      <c r="B265" s="20">
        <v>0.4375</v>
      </c>
      <c r="C265" s="21">
        <v>38.299999999999997</v>
      </c>
      <c r="D265" s="22">
        <v>31.3</v>
      </c>
      <c r="E265" s="7">
        <v>26</v>
      </c>
      <c r="F265" s="11">
        <f t="shared" si="44"/>
        <v>6.9999999999999964</v>
      </c>
      <c r="G265" s="23">
        <f t="shared" si="44"/>
        <v>5.3000000000000007</v>
      </c>
      <c r="H265" s="24">
        <f t="shared" si="43"/>
        <v>56.910569105691046</v>
      </c>
      <c r="I265" s="25">
        <v>3154</v>
      </c>
      <c r="J265" s="26">
        <f t="shared" si="45"/>
        <v>6.9999999999999964</v>
      </c>
      <c r="K265" s="21">
        <f t="shared" si="46"/>
        <v>33.779339999999983</v>
      </c>
      <c r="L265" s="27">
        <v>1.75</v>
      </c>
      <c r="M265" s="28">
        <v>5</v>
      </c>
      <c r="N265" s="29">
        <f t="shared" si="47"/>
        <v>5.7558679999999969</v>
      </c>
      <c r="O265" s="30">
        <f t="shared" si="48"/>
        <v>41.285207999999983</v>
      </c>
    </row>
    <row r="266" spans="1:15" x14ac:dyDescent="0.3">
      <c r="A266" s="19"/>
      <c r="B266" s="20">
        <v>0.52083333333333337</v>
      </c>
      <c r="C266" s="21">
        <v>39.200000000000003</v>
      </c>
      <c r="D266" s="22">
        <v>32.1</v>
      </c>
      <c r="E266" s="7">
        <v>26</v>
      </c>
      <c r="F266" s="11">
        <f t="shared" si="44"/>
        <v>7.1000000000000014</v>
      </c>
      <c r="G266" s="23">
        <f t="shared" si="44"/>
        <v>6.1000000000000014</v>
      </c>
      <c r="H266" s="24">
        <f t="shared" si="43"/>
        <v>53.787878787878782</v>
      </c>
      <c r="I266" s="25">
        <v>3131</v>
      </c>
      <c r="J266" s="26">
        <f t="shared" si="45"/>
        <v>7.1000000000000014</v>
      </c>
      <c r="K266" s="21">
        <f t="shared" si="46"/>
        <v>34.012053000000002</v>
      </c>
      <c r="L266" s="27">
        <v>1.75</v>
      </c>
      <c r="M266" s="28">
        <v>5</v>
      </c>
      <c r="N266" s="29">
        <f t="shared" si="47"/>
        <v>5.8024106</v>
      </c>
      <c r="O266" s="30">
        <f t="shared" si="48"/>
        <v>41.564463600000003</v>
      </c>
    </row>
    <row r="267" spans="1:15" x14ac:dyDescent="0.3">
      <c r="A267" s="19"/>
      <c r="B267" s="20">
        <v>0.60416666666666663</v>
      </c>
      <c r="C267" s="21">
        <v>39.200000000000003</v>
      </c>
      <c r="D267" s="22">
        <v>32.1</v>
      </c>
      <c r="E267" s="7">
        <v>26</v>
      </c>
      <c r="F267" s="11">
        <f t="shared" si="44"/>
        <v>7.1000000000000014</v>
      </c>
      <c r="G267" s="23">
        <f t="shared" si="44"/>
        <v>6.1000000000000014</v>
      </c>
      <c r="H267" s="24">
        <f t="shared" si="43"/>
        <v>53.787878787878782</v>
      </c>
      <c r="I267" s="25">
        <v>3147</v>
      </c>
      <c r="J267" s="26">
        <f t="shared" si="45"/>
        <v>7.1000000000000014</v>
      </c>
      <c r="K267" s="21">
        <f t="shared" si="46"/>
        <v>34.185861000000003</v>
      </c>
      <c r="L267" s="27">
        <v>1.75</v>
      </c>
      <c r="M267" s="28">
        <v>5</v>
      </c>
      <c r="N267" s="29">
        <f t="shared" si="47"/>
        <v>5.8371722000000004</v>
      </c>
      <c r="O267" s="30">
        <f t="shared" si="48"/>
        <v>41.7730332</v>
      </c>
    </row>
    <row r="268" spans="1:15" x14ac:dyDescent="0.3">
      <c r="A268" s="19"/>
      <c r="B268" s="20">
        <v>0.6875</v>
      </c>
      <c r="C268" s="21">
        <v>38.5</v>
      </c>
      <c r="D268" s="22">
        <v>31.6</v>
      </c>
      <c r="E268" s="7">
        <v>26</v>
      </c>
      <c r="F268" s="11">
        <f t="shared" si="44"/>
        <v>6.8999999999999986</v>
      </c>
      <c r="G268" s="23">
        <f t="shared" si="44"/>
        <v>5.6000000000000014</v>
      </c>
      <c r="H268" s="24">
        <f t="shared" si="43"/>
        <v>55.199999999999996</v>
      </c>
      <c r="I268" s="25">
        <v>3150</v>
      </c>
      <c r="J268" s="26">
        <f t="shared" si="45"/>
        <v>6.8999999999999986</v>
      </c>
      <c r="K268" s="21">
        <f t="shared" si="46"/>
        <v>33.254549999999988</v>
      </c>
      <c r="L268" s="27">
        <v>1.75</v>
      </c>
      <c r="M268" s="28">
        <v>5</v>
      </c>
      <c r="N268" s="29">
        <f t="shared" si="47"/>
        <v>5.6509099999999979</v>
      </c>
      <c r="O268" s="30">
        <f t="shared" si="48"/>
        <v>40.655459999999984</v>
      </c>
    </row>
    <row r="269" spans="1:15" x14ac:dyDescent="0.3">
      <c r="A269" s="19"/>
      <c r="B269" s="20">
        <v>0.77083333333333337</v>
      </c>
      <c r="C269" s="21">
        <v>38.200000000000003</v>
      </c>
      <c r="D269" s="22">
        <v>31.3</v>
      </c>
      <c r="E269" s="7">
        <v>26</v>
      </c>
      <c r="F269" s="11">
        <f t="shared" si="44"/>
        <v>6.9000000000000021</v>
      </c>
      <c r="G269" s="23">
        <f t="shared" si="44"/>
        <v>5.3000000000000007</v>
      </c>
      <c r="H269" s="24">
        <f t="shared" si="43"/>
        <v>56.557377049180332</v>
      </c>
      <c r="I269" s="25">
        <v>3119</v>
      </c>
      <c r="J269" s="26">
        <f t="shared" si="45"/>
        <v>6.9000000000000021</v>
      </c>
      <c r="K269" s="21">
        <f t="shared" si="46"/>
        <v>32.927283000000003</v>
      </c>
      <c r="L269" s="27">
        <v>1.75</v>
      </c>
      <c r="M269" s="28">
        <v>5</v>
      </c>
      <c r="N269" s="29">
        <f t="shared" si="47"/>
        <v>5.5854566000000005</v>
      </c>
      <c r="O269" s="30">
        <f t="shared" si="48"/>
        <v>40.262739600000003</v>
      </c>
    </row>
    <row r="270" spans="1:15" x14ac:dyDescent="0.3">
      <c r="A270" s="19"/>
      <c r="B270" s="20">
        <v>0.85416666666666663</v>
      </c>
      <c r="C270" s="32">
        <v>38.200000000000003</v>
      </c>
      <c r="D270" s="22">
        <v>31.3</v>
      </c>
      <c r="E270" s="7">
        <v>26</v>
      </c>
      <c r="F270" s="11">
        <f t="shared" si="44"/>
        <v>6.9000000000000021</v>
      </c>
      <c r="G270" s="23">
        <f t="shared" si="44"/>
        <v>5.3000000000000007</v>
      </c>
      <c r="H270" s="24">
        <f t="shared" si="43"/>
        <v>56.557377049180332</v>
      </c>
      <c r="I270" s="25">
        <v>3264</v>
      </c>
      <c r="J270" s="26">
        <f t="shared" si="45"/>
        <v>6.9000000000000021</v>
      </c>
      <c r="K270" s="21">
        <f t="shared" si="46"/>
        <v>34.458048000000005</v>
      </c>
      <c r="L270" s="27">
        <v>1.75</v>
      </c>
      <c r="M270" s="28">
        <v>5</v>
      </c>
      <c r="N270" s="29">
        <f t="shared" si="47"/>
        <v>5.8916096000000007</v>
      </c>
      <c r="O270" s="30">
        <f t="shared" si="48"/>
        <v>42.099657600000008</v>
      </c>
    </row>
    <row r="271" spans="1:15" x14ac:dyDescent="0.3">
      <c r="A271" s="19"/>
      <c r="B271" s="20">
        <v>0.9375</v>
      </c>
      <c r="C271" s="21">
        <v>37.4</v>
      </c>
      <c r="D271" s="22">
        <v>30.8</v>
      </c>
      <c r="E271" s="7">
        <v>26</v>
      </c>
      <c r="F271" s="11">
        <f t="shared" si="44"/>
        <v>6.5999999999999979</v>
      </c>
      <c r="G271" s="23">
        <f t="shared" si="44"/>
        <v>4.8000000000000007</v>
      </c>
      <c r="H271" s="24">
        <f t="shared" si="43"/>
        <v>57.894736842105253</v>
      </c>
      <c r="I271" s="25">
        <v>3107</v>
      </c>
      <c r="J271" s="26">
        <f t="shared" si="45"/>
        <v>6.5999999999999979</v>
      </c>
      <c r="K271" s="21">
        <f t="shared" si="46"/>
        <v>31.37448599999999</v>
      </c>
      <c r="L271" s="27">
        <v>1.75</v>
      </c>
      <c r="M271" s="28">
        <v>5</v>
      </c>
      <c r="N271" s="29">
        <f t="shared" si="47"/>
        <v>5.2748971999999981</v>
      </c>
      <c r="O271" s="30">
        <f t="shared" si="48"/>
        <v>38.399383199999988</v>
      </c>
    </row>
    <row r="272" spans="1:15" x14ac:dyDescent="0.3">
      <c r="A272" s="19"/>
      <c r="B272" s="20">
        <v>2.0833333333333332E-2</v>
      </c>
      <c r="C272" s="21">
        <v>37.299999999999997</v>
      </c>
      <c r="D272" s="22">
        <v>30.6</v>
      </c>
      <c r="E272" s="7">
        <v>26</v>
      </c>
      <c r="F272" s="11">
        <f t="shared" si="44"/>
        <v>6.6999999999999957</v>
      </c>
      <c r="G272" s="23">
        <f t="shared" si="44"/>
        <v>4.6000000000000014</v>
      </c>
      <c r="H272" s="24">
        <f t="shared" si="43"/>
        <v>59.29203539823007</v>
      </c>
      <c r="I272" s="25">
        <v>3166</v>
      </c>
      <c r="J272" s="26">
        <f t="shared" si="45"/>
        <v>6.6999999999999957</v>
      </c>
      <c r="K272" s="21">
        <f t="shared" si="46"/>
        <v>32.454665999999975</v>
      </c>
      <c r="L272" s="27">
        <v>1.75</v>
      </c>
      <c r="M272" s="28">
        <v>5</v>
      </c>
      <c r="N272" s="29">
        <f t="shared" si="47"/>
        <v>5.4909331999999953</v>
      </c>
      <c r="O272" s="30">
        <f t="shared" si="48"/>
        <v>39.695599199999968</v>
      </c>
    </row>
    <row r="273" spans="1:15" x14ac:dyDescent="0.3">
      <c r="A273" s="19"/>
      <c r="B273" s="20">
        <v>0.10416666666666667</v>
      </c>
      <c r="C273" s="21">
        <v>38</v>
      </c>
      <c r="D273" s="22">
        <v>30.9</v>
      </c>
      <c r="E273" s="7">
        <v>26</v>
      </c>
      <c r="F273" s="11">
        <f t="shared" si="44"/>
        <v>7.1000000000000014</v>
      </c>
      <c r="G273" s="23">
        <f t="shared" si="44"/>
        <v>4.8999999999999986</v>
      </c>
      <c r="H273" s="24">
        <f t="shared" ref="H273:H336" si="49">(F273/(F273+G273))*100</f>
        <v>59.166666666666679</v>
      </c>
      <c r="I273" s="25">
        <v>3170</v>
      </c>
      <c r="J273" s="26">
        <f t="shared" si="45"/>
        <v>7.1000000000000014</v>
      </c>
      <c r="K273" s="21">
        <f t="shared" si="46"/>
        <v>34.43571</v>
      </c>
      <c r="L273" s="27">
        <v>1.75</v>
      </c>
      <c r="M273" s="28">
        <v>5</v>
      </c>
      <c r="N273" s="29">
        <f t="shared" si="47"/>
        <v>5.8871419999999999</v>
      </c>
      <c r="O273" s="30">
        <f t="shared" si="48"/>
        <v>42.072851999999997</v>
      </c>
    </row>
    <row r="274" spans="1:15" x14ac:dyDescent="0.3">
      <c r="A274" s="19"/>
      <c r="B274" s="20">
        <v>0.1875</v>
      </c>
      <c r="C274" s="21">
        <v>36.799999999999997</v>
      </c>
      <c r="D274" s="35">
        <v>30.1</v>
      </c>
      <c r="E274" s="7">
        <v>26</v>
      </c>
      <c r="F274" s="11">
        <f t="shared" si="44"/>
        <v>6.6999999999999957</v>
      </c>
      <c r="G274" s="23">
        <f t="shared" si="44"/>
        <v>4.1000000000000014</v>
      </c>
      <c r="H274" s="24">
        <f t="shared" si="49"/>
        <v>62.03703703703701</v>
      </c>
      <c r="I274" s="25">
        <v>3266</v>
      </c>
      <c r="J274" s="26">
        <f t="shared" si="45"/>
        <v>6.6999999999999957</v>
      </c>
      <c r="K274" s="21">
        <f t="shared" si="46"/>
        <v>33.479765999999977</v>
      </c>
      <c r="L274" s="27">
        <v>1.75</v>
      </c>
      <c r="M274" s="28">
        <v>5</v>
      </c>
      <c r="N274" s="29">
        <f t="shared" si="47"/>
        <v>5.6959531999999955</v>
      </c>
      <c r="O274" s="30">
        <f t="shared" si="48"/>
        <v>40.925719199999975</v>
      </c>
    </row>
    <row r="275" spans="1:15" s="3" customFormat="1" x14ac:dyDescent="0.3">
      <c r="A275" s="34"/>
      <c r="B275" s="34"/>
      <c r="C275" s="34"/>
      <c r="D275" s="34"/>
      <c r="E275" s="34"/>
      <c r="F275" s="34"/>
      <c r="G275" s="34" t="s">
        <v>8</v>
      </c>
      <c r="H275" s="34">
        <f>AVERAGE(H263:H274)</f>
        <v>57.86460978396741</v>
      </c>
      <c r="I275" s="34"/>
      <c r="J275" s="34"/>
      <c r="K275" s="34">
        <f>AVERAGE(K263:K274)</f>
        <v>33.5500185</v>
      </c>
      <c r="L275" s="34"/>
      <c r="M275" s="34"/>
      <c r="N275" s="34">
        <f>AVERAGE(N263:N274)</f>
        <v>5.7100036999999988</v>
      </c>
      <c r="O275" s="34">
        <f>AVERAGE(O263:O274)</f>
        <v>41.010022199999987</v>
      </c>
    </row>
    <row r="276" spans="1:15" x14ac:dyDescent="0.3">
      <c r="A276" s="19">
        <v>44552</v>
      </c>
      <c r="B276" s="20">
        <v>0.27083333333333331</v>
      </c>
      <c r="C276" s="21">
        <v>36.200000000000003</v>
      </c>
      <c r="D276" s="22">
        <v>29.7</v>
      </c>
      <c r="E276" s="7">
        <v>26</v>
      </c>
      <c r="F276" s="11">
        <f t="shared" si="44"/>
        <v>6.5000000000000036</v>
      </c>
      <c r="G276" s="23">
        <f t="shared" si="44"/>
        <v>3.6999999999999993</v>
      </c>
      <c r="H276" s="24">
        <f t="shared" si="49"/>
        <v>63.725490196078447</v>
      </c>
      <c r="I276" s="25">
        <v>3213</v>
      </c>
      <c r="J276" s="26">
        <f t="shared" si="45"/>
        <v>6.5000000000000036</v>
      </c>
      <c r="K276" s="21">
        <f t="shared" si="46"/>
        <v>31.953285000000019</v>
      </c>
      <c r="L276" s="27">
        <v>1.75</v>
      </c>
      <c r="M276" s="28">
        <v>5</v>
      </c>
      <c r="N276" s="29">
        <f t="shared" si="47"/>
        <v>5.3906570000000036</v>
      </c>
      <c r="O276" s="30">
        <f t="shared" si="48"/>
        <v>39.093942000000027</v>
      </c>
    </row>
    <row r="277" spans="1:15" x14ac:dyDescent="0.3">
      <c r="A277" s="19"/>
      <c r="B277" s="20">
        <v>0.35416666666666669</v>
      </c>
      <c r="C277" s="21">
        <v>36.4</v>
      </c>
      <c r="D277" s="22">
        <v>29.9</v>
      </c>
      <c r="E277" s="7">
        <v>26</v>
      </c>
      <c r="F277" s="11">
        <f t="shared" si="44"/>
        <v>6.5</v>
      </c>
      <c r="G277" s="23">
        <f t="shared" si="44"/>
        <v>3.8999999999999986</v>
      </c>
      <c r="H277" s="24">
        <f t="shared" si="49"/>
        <v>62.500000000000014</v>
      </c>
      <c r="I277" s="25">
        <v>3147</v>
      </c>
      <c r="J277" s="26">
        <f t="shared" si="45"/>
        <v>6.5</v>
      </c>
      <c r="K277" s="21">
        <f t="shared" si="46"/>
        <v>31.296914999999995</v>
      </c>
      <c r="L277" s="27">
        <v>1.75</v>
      </c>
      <c r="M277" s="28">
        <v>5</v>
      </c>
      <c r="N277" s="29">
        <f t="shared" si="47"/>
        <v>5.2593829999999988</v>
      </c>
      <c r="O277" s="30">
        <f t="shared" si="48"/>
        <v>38.306297999999998</v>
      </c>
    </row>
    <row r="278" spans="1:15" x14ac:dyDescent="0.3">
      <c r="A278" s="19"/>
      <c r="B278" s="20">
        <v>0.4375</v>
      </c>
      <c r="C278" s="21">
        <v>38.1</v>
      </c>
      <c r="D278" s="22">
        <v>31.5</v>
      </c>
      <c r="E278" s="7">
        <v>26</v>
      </c>
      <c r="F278" s="11">
        <f t="shared" si="44"/>
        <v>6.6000000000000014</v>
      </c>
      <c r="G278" s="23">
        <f t="shared" si="44"/>
        <v>5.5</v>
      </c>
      <c r="H278" s="24">
        <f t="shared" si="49"/>
        <v>54.545454545454554</v>
      </c>
      <c r="I278" s="25">
        <v>3213</v>
      </c>
      <c r="J278" s="26">
        <f t="shared" si="45"/>
        <v>6.6000000000000014</v>
      </c>
      <c r="K278" s="21">
        <f t="shared" si="46"/>
        <v>32.444874000000006</v>
      </c>
      <c r="L278" s="27">
        <v>1.75</v>
      </c>
      <c r="M278" s="28">
        <v>5</v>
      </c>
      <c r="N278" s="29">
        <f t="shared" si="47"/>
        <v>5.4889748000000012</v>
      </c>
      <c r="O278" s="30">
        <f t="shared" si="48"/>
        <v>39.683848800000007</v>
      </c>
    </row>
    <row r="279" spans="1:15" x14ac:dyDescent="0.3">
      <c r="A279" s="19"/>
      <c r="B279" s="20">
        <v>0.52083333333333337</v>
      </c>
      <c r="C279" s="21">
        <v>38.6</v>
      </c>
      <c r="D279" s="22">
        <v>31.9</v>
      </c>
      <c r="E279" s="7">
        <v>26</v>
      </c>
      <c r="F279" s="11">
        <f t="shared" si="44"/>
        <v>6.7000000000000028</v>
      </c>
      <c r="G279" s="23">
        <f t="shared" si="44"/>
        <v>5.8999999999999986</v>
      </c>
      <c r="H279" s="24">
        <f t="shared" si="49"/>
        <v>53.174603174603199</v>
      </c>
      <c r="I279" s="25">
        <v>3168</v>
      </c>
      <c r="J279" s="26">
        <f t="shared" si="45"/>
        <v>6.7000000000000028</v>
      </c>
      <c r="K279" s="21">
        <f t="shared" si="46"/>
        <v>32.475168000000011</v>
      </c>
      <c r="L279" s="27">
        <v>1.75</v>
      </c>
      <c r="M279" s="28">
        <v>5</v>
      </c>
      <c r="N279" s="29">
        <f t="shared" si="47"/>
        <v>5.495033600000002</v>
      </c>
      <c r="O279" s="30">
        <f t="shared" si="48"/>
        <v>39.72020160000001</v>
      </c>
    </row>
    <row r="280" spans="1:15" x14ac:dyDescent="0.3">
      <c r="A280" s="19"/>
      <c r="B280" s="20">
        <v>0.60416666666666663</v>
      </c>
      <c r="C280" s="21">
        <v>39.1</v>
      </c>
      <c r="D280" s="22">
        <v>32</v>
      </c>
      <c r="E280" s="7">
        <v>26</v>
      </c>
      <c r="F280" s="11">
        <f t="shared" si="44"/>
        <v>7.1000000000000014</v>
      </c>
      <c r="G280" s="23">
        <f t="shared" si="44"/>
        <v>6</v>
      </c>
      <c r="H280" s="24">
        <f t="shared" si="49"/>
        <v>54.198473282442748</v>
      </c>
      <c r="I280" s="25">
        <v>3161</v>
      </c>
      <c r="J280" s="26">
        <f t="shared" si="45"/>
        <v>7.1000000000000014</v>
      </c>
      <c r="K280" s="21">
        <f t="shared" si="46"/>
        <v>34.337943000000003</v>
      </c>
      <c r="L280" s="27">
        <v>1.75</v>
      </c>
      <c r="M280" s="28">
        <v>5</v>
      </c>
      <c r="N280" s="29">
        <f t="shared" si="47"/>
        <v>5.8675886000000004</v>
      </c>
      <c r="O280" s="30">
        <f t="shared" si="48"/>
        <v>41.9555316</v>
      </c>
    </row>
    <row r="281" spans="1:15" x14ac:dyDescent="0.3">
      <c r="A281" s="19"/>
      <c r="B281" s="20">
        <v>0.6875</v>
      </c>
      <c r="C281" s="21">
        <v>39.1</v>
      </c>
      <c r="D281" s="22">
        <v>32</v>
      </c>
      <c r="E281" s="7">
        <v>26</v>
      </c>
      <c r="F281" s="11">
        <f t="shared" si="44"/>
        <v>7.1000000000000014</v>
      </c>
      <c r="G281" s="23">
        <f t="shared" si="44"/>
        <v>6</v>
      </c>
      <c r="H281" s="24">
        <f t="shared" si="49"/>
        <v>54.198473282442748</v>
      </c>
      <c r="I281" s="25">
        <v>3141</v>
      </c>
      <c r="J281" s="26">
        <f t="shared" si="45"/>
        <v>7.1000000000000014</v>
      </c>
      <c r="K281" s="21">
        <f t="shared" si="46"/>
        <v>34.120683000000007</v>
      </c>
      <c r="L281" s="27">
        <v>1.75</v>
      </c>
      <c r="M281" s="28">
        <v>5</v>
      </c>
      <c r="N281" s="29">
        <f t="shared" si="47"/>
        <v>5.824136600000001</v>
      </c>
      <c r="O281" s="30">
        <f t="shared" si="48"/>
        <v>41.69481960000001</v>
      </c>
    </row>
    <row r="282" spans="1:15" x14ac:dyDescent="0.3">
      <c r="A282" s="19"/>
      <c r="B282" s="20">
        <v>0.77083333333333337</v>
      </c>
      <c r="C282" s="21">
        <v>39.1</v>
      </c>
      <c r="D282" s="22">
        <v>32</v>
      </c>
      <c r="E282" s="7">
        <v>26</v>
      </c>
      <c r="F282" s="11">
        <f t="shared" si="44"/>
        <v>7.1000000000000014</v>
      </c>
      <c r="G282" s="23">
        <f t="shared" si="44"/>
        <v>6</v>
      </c>
      <c r="H282" s="24">
        <f t="shared" si="49"/>
        <v>54.198473282442748</v>
      </c>
      <c r="I282" s="25">
        <v>3171</v>
      </c>
      <c r="J282" s="26">
        <f t="shared" si="45"/>
        <v>7.1000000000000014</v>
      </c>
      <c r="K282" s="21">
        <f t="shared" si="46"/>
        <v>34.446573000000001</v>
      </c>
      <c r="L282" s="27">
        <v>1.75</v>
      </c>
      <c r="M282" s="28">
        <v>5</v>
      </c>
      <c r="N282" s="29">
        <f t="shared" si="47"/>
        <v>5.8893146000000005</v>
      </c>
      <c r="O282" s="30">
        <f t="shared" si="48"/>
        <v>42.0858876</v>
      </c>
    </row>
    <row r="283" spans="1:15" x14ac:dyDescent="0.3">
      <c r="A283" s="19"/>
      <c r="B283" s="20">
        <v>0.85416666666666663</v>
      </c>
      <c r="C283" s="32">
        <v>38.799999999999997</v>
      </c>
      <c r="D283" s="22">
        <v>32</v>
      </c>
      <c r="E283" s="7">
        <v>26</v>
      </c>
      <c r="F283" s="11">
        <f t="shared" si="44"/>
        <v>6.7999999999999972</v>
      </c>
      <c r="G283" s="23">
        <f t="shared" si="44"/>
        <v>6</v>
      </c>
      <c r="H283" s="24">
        <f t="shared" si="49"/>
        <v>53.124999999999986</v>
      </c>
      <c r="I283" s="25">
        <v>3119</v>
      </c>
      <c r="J283" s="26">
        <f t="shared" si="45"/>
        <v>6.7999999999999972</v>
      </c>
      <c r="K283" s="21">
        <f t="shared" si="46"/>
        <v>32.450075999999981</v>
      </c>
      <c r="L283" s="27">
        <v>1.75</v>
      </c>
      <c r="M283" s="28">
        <v>5</v>
      </c>
      <c r="N283" s="29">
        <f t="shared" si="47"/>
        <v>5.4900151999999967</v>
      </c>
      <c r="O283" s="30">
        <f t="shared" si="48"/>
        <v>39.690091199999976</v>
      </c>
    </row>
    <row r="284" spans="1:15" x14ac:dyDescent="0.3">
      <c r="A284" s="19"/>
      <c r="B284" s="20">
        <v>0.9375</v>
      </c>
      <c r="C284" s="21">
        <v>38.200000000000003</v>
      </c>
      <c r="D284" s="22">
        <v>31.5</v>
      </c>
      <c r="E284" s="7">
        <v>26</v>
      </c>
      <c r="F284" s="11">
        <f t="shared" si="44"/>
        <v>6.7000000000000028</v>
      </c>
      <c r="G284" s="23">
        <f t="shared" si="44"/>
        <v>5.5</v>
      </c>
      <c r="H284" s="24">
        <f t="shared" si="49"/>
        <v>54.918032786885249</v>
      </c>
      <c r="I284" s="25">
        <v>3125</v>
      </c>
      <c r="J284" s="26">
        <f t="shared" si="45"/>
        <v>6.7000000000000028</v>
      </c>
      <c r="K284" s="21">
        <f t="shared" si="46"/>
        <v>32.034375000000011</v>
      </c>
      <c r="L284" s="27">
        <v>1.75</v>
      </c>
      <c r="M284" s="28">
        <v>5</v>
      </c>
      <c r="N284" s="29">
        <f t="shared" si="47"/>
        <v>5.4068750000000021</v>
      </c>
      <c r="O284" s="30">
        <f t="shared" si="48"/>
        <v>39.191250000000011</v>
      </c>
    </row>
    <row r="285" spans="1:15" x14ac:dyDescent="0.3">
      <c r="A285" s="19"/>
      <c r="B285" s="20">
        <v>2.0833333333333332E-2</v>
      </c>
      <c r="C285" s="21">
        <v>37.700000000000003</v>
      </c>
      <c r="D285" s="22">
        <v>31</v>
      </c>
      <c r="E285" s="7">
        <v>26</v>
      </c>
      <c r="F285" s="11">
        <f t="shared" si="44"/>
        <v>6.7000000000000028</v>
      </c>
      <c r="G285" s="23">
        <f t="shared" si="44"/>
        <v>5</v>
      </c>
      <c r="H285" s="24">
        <f t="shared" si="49"/>
        <v>57.264957264957275</v>
      </c>
      <c r="I285" s="25">
        <v>3157</v>
      </c>
      <c r="J285" s="26">
        <f t="shared" si="45"/>
        <v>6.7000000000000028</v>
      </c>
      <c r="K285" s="21">
        <f t="shared" si="46"/>
        <v>32.362407000000012</v>
      </c>
      <c r="L285" s="27">
        <v>1.75</v>
      </c>
      <c r="M285" s="28">
        <v>5</v>
      </c>
      <c r="N285" s="29">
        <f t="shared" si="47"/>
        <v>5.4724814000000022</v>
      </c>
      <c r="O285" s="30">
        <f t="shared" si="48"/>
        <v>39.584888400000011</v>
      </c>
    </row>
    <row r="286" spans="1:15" x14ac:dyDescent="0.3">
      <c r="A286" s="19"/>
      <c r="B286" s="20">
        <v>0.10416666666666667</v>
      </c>
      <c r="C286" s="21">
        <v>37.6</v>
      </c>
      <c r="D286" s="22">
        <v>30.6</v>
      </c>
      <c r="E286" s="7">
        <v>26</v>
      </c>
      <c r="F286" s="11">
        <f t="shared" si="44"/>
        <v>7</v>
      </c>
      <c r="G286" s="23">
        <f t="shared" si="44"/>
        <v>4.6000000000000014</v>
      </c>
      <c r="H286" s="24">
        <f t="shared" si="49"/>
        <v>60.344827586206883</v>
      </c>
      <c r="I286" s="25">
        <v>3135</v>
      </c>
      <c r="J286" s="26">
        <f t="shared" si="45"/>
        <v>7</v>
      </c>
      <c r="K286" s="21">
        <f t="shared" si="46"/>
        <v>33.575850000000003</v>
      </c>
      <c r="L286" s="27">
        <v>1.75</v>
      </c>
      <c r="M286" s="28">
        <v>5</v>
      </c>
      <c r="N286" s="29">
        <f t="shared" si="47"/>
        <v>5.7151700000000005</v>
      </c>
      <c r="O286" s="30">
        <f t="shared" si="48"/>
        <v>41.041020000000003</v>
      </c>
    </row>
    <row r="287" spans="1:15" x14ac:dyDescent="0.3">
      <c r="A287" s="19"/>
      <c r="B287" s="20">
        <v>0.1875</v>
      </c>
      <c r="C287" s="21">
        <v>37.1</v>
      </c>
      <c r="D287" s="35">
        <v>30.6</v>
      </c>
      <c r="E287" s="7">
        <v>26</v>
      </c>
      <c r="F287" s="11">
        <f t="shared" si="44"/>
        <v>6.5</v>
      </c>
      <c r="G287" s="23">
        <f t="shared" si="44"/>
        <v>4.6000000000000014</v>
      </c>
      <c r="H287" s="24">
        <f t="shared" si="49"/>
        <v>58.558558558558552</v>
      </c>
      <c r="I287" s="25">
        <v>3143</v>
      </c>
      <c r="J287" s="26">
        <f t="shared" si="45"/>
        <v>6.5</v>
      </c>
      <c r="K287" s="21">
        <f t="shared" si="46"/>
        <v>31.257134999999995</v>
      </c>
      <c r="L287" s="27">
        <v>1.75</v>
      </c>
      <c r="M287" s="28">
        <v>5</v>
      </c>
      <c r="N287" s="29">
        <f t="shared" si="47"/>
        <v>5.2514269999999987</v>
      </c>
      <c r="O287" s="30">
        <f t="shared" si="48"/>
        <v>38.258561999999991</v>
      </c>
    </row>
    <row r="288" spans="1:15" s="3" customFormat="1" x14ac:dyDescent="0.3">
      <c r="A288" s="34"/>
      <c r="B288" s="34"/>
      <c r="C288" s="34"/>
      <c r="D288" s="34"/>
      <c r="E288" s="34"/>
      <c r="F288" s="34"/>
      <c r="G288" s="34" t="s">
        <v>8</v>
      </c>
      <c r="H288" s="34">
        <f>AVERAGE(H276:H287)</f>
        <v>56.729361996672701</v>
      </c>
      <c r="I288" s="34"/>
      <c r="J288" s="34"/>
      <c r="K288" s="34">
        <f>AVERAGE(K276:K287)</f>
        <v>32.729607000000009</v>
      </c>
      <c r="L288" s="34"/>
      <c r="M288" s="34"/>
      <c r="N288" s="34">
        <f>AVERAGE(N276:N287)</f>
        <v>5.5459214000000001</v>
      </c>
      <c r="O288" s="34">
        <f>AVERAGE(O276:O287)</f>
        <v>40.025528400000006</v>
      </c>
    </row>
    <row r="289" spans="1:15" x14ac:dyDescent="0.3">
      <c r="A289" s="19">
        <v>44553</v>
      </c>
      <c r="B289" s="20">
        <v>0.27083333333333331</v>
      </c>
      <c r="C289" s="21">
        <v>36.9</v>
      </c>
      <c r="D289" s="22">
        <v>30.3</v>
      </c>
      <c r="E289" s="7">
        <v>26</v>
      </c>
      <c r="F289" s="11">
        <f t="shared" si="44"/>
        <v>6.5999999999999979</v>
      </c>
      <c r="G289" s="23">
        <f t="shared" si="44"/>
        <v>4.3000000000000007</v>
      </c>
      <c r="H289" s="24">
        <f t="shared" si="49"/>
        <v>60.550458715596321</v>
      </c>
      <c r="I289" s="25">
        <v>3188</v>
      </c>
      <c r="J289" s="26">
        <f t="shared" si="45"/>
        <v>6.5999999999999979</v>
      </c>
      <c r="K289" s="21">
        <f t="shared" si="46"/>
        <v>32.192423999999988</v>
      </c>
      <c r="L289" s="27">
        <v>1.75</v>
      </c>
      <c r="M289" s="28">
        <v>5</v>
      </c>
      <c r="N289" s="29">
        <f t="shared" si="47"/>
        <v>5.4384847999999977</v>
      </c>
      <c r="O289" s="30">
        <f t="shared" si="48"/>
        <v>39.380908799999986</v>
      </c>
    </row>
    <row r="290" spans="1:15" x14ac:dyDescent="0.3">
      <c r="A290" s="19"/>
      <c r="B290" s="20">
        <v>0.35416666666666669</v>
      </c>
      <c r="C290" s="21">
        <v>36.4</v>
      </c>
      <c r="D290" s="22">
        <v>30</v>
      </c>
      <c r="E290" s="7">
        <v>26</v>
      </c>
      <c r="F290" s="11">
        <f t="shared" si="44"/>
        <v>6.3999999999999986</v>
      </c>
      <c r="G290" s="23">
        <f t="shared" si="44"/>
        <v>4</v>
      </c>
      <c r="H290" s="24">
        <f t="shared" si="49"/>
        <v>61.538461538461533</v>
      </c>
      <c r="I290" s="25">
        <v>3157</v>
      </c>
      <c r="J290" s="26">
        <f t="shared" si="45"/>
        <v>6.3999999999999986</v>
      </c>
      <c r="K290" s="21">
        <f t="shared" si="46"/>
        <v>30.913343999999988</v>
      </c>
      <c r="L290" s="27">
        <v>1.75</v>
      </c>
      <c r="M290" s="28">
        <v>5</v>
      </c>
      <c r="N290" s="29">
        <f t="shared" si="47"/>
        <v>5.1826687999999974</v>
      </c>
      <c r="O290" s="30">
        <f t="shared" si="48"/>
        <v>37.846012799999983</v>
      </c>
    </row>
    <row r="291" spans="1:15" x14ac:dyDescent="0.3">
      <c r="A291" s="19"/>
      <c r="B291" s="20">
        <v>0.4375</v>
      </c>
      <c r="C291" s="21">
        <v>35.4</v>
      </c>
      <c r="D291" s="22">
        <v>30.1</v>
      </c>
      <c r="E291" s="7">
        <v>26</v>
      </c>
      <c r="F291" s="11">
        <f t="shared" si="44"/>
        <v>5.2999999999999972</v>
      </c>
      <c r="G291" s="23">
        <f t="shared" si="44"/>
        <v>4.1000000000000014</v>
      </c>
      <c r="H291" s="24">
        <f t="shared" si="49"/>
        <v>56.382978723404229</v>
      </c>
      <c r="I291" s="25">
        <v>3125</v>
      </c>
      <c r="J291" s="26">
        <f t="shared" si="45"/>
        <v>5.2999999999999972</v>
      </c>
      <c r="K291" s="21">
        <f t="shared" si="46"/>
        <v>25.340624999999985</v>
      </c>
      <c r="L291" s="27">
        <v>1.75</v>
      </c>
      <c r="M291" s="28">
        <v>5</v>
      </c>
      <c r="N291" s="29">
        <f t="shared" si="47"/>
        <v>4.0681249999999967</v>
      </c>
      <c r="O291" s="30">
        <f t="shared" si="48"/>
        <v>31.158749999999984</v>
      </c>
    </row>
    <row r="292" spans="1:15" x14ac:dyDescent="0.3">
      <c r="A292" s="19"/>
      <c r="B292" s="20">
        <v>0.52083333333333337</v>
      </c>
      <c r="C292" s="21">
        <v>36.9</v>
      </c>
      <c r="D292" s="22">
        <v>31.4</v>
      </c>
      <c r="E292" s="7">
        <v>26</v>
      </c>
      <c r="F292" s="11">
        <f t="shared" si="44"/>
        <v>5.5</v>
      </c>
      <c r="G292" s="23">
        <f t="shared" si="44"/>
        <v>5.3999999999999986</v>
      </c>
      <c r="H292" s="24">
        <f t="shared" si="49"/>
        <v>50.458715596330286</v>
      </c>
      <c r="I292" s="25">
        <v>3191</v>
      </c>
      <c r="J292" s="26">
        <f t="shared" si="45"/>
        <v>5.5</v>
      </c>
      <c r="K292" s="21">
        <f t="shared" si="46"/>
        <v>26.852264999999999</v>
      </c>
      <c r="L292" s="27">
        <v>1.75</v>
      </c>
      <c r="M292" s="28">
        <v>5</v>
      </c>
      <c r="N292" s="29">
        <f t="shared" si="47"/>
        <v>4.3704529999999995</v>
      </c>
      <c r="O292" s="30">
        <f t="shared" si="48"/>
        <v>32.972718</v>
      </c>
    </row>
    <row r="293" spans="1:15" x14ac:dyDescent="0.3">
      <c r="A293" s="19"/>
      <c r="B293" s="20">
        <v>0.60416666666666663</v>
      </c>
      <c r="C293" s="21">
        <v>36.5</v>
      </c>
      <c r="D293" s="22">
        <v>30.8</v>
      </c>
      <c r="E293" s="7">
        <v>26</v>
      </c>
      <c r="F293" s="11">
        <f t="shared" si="44"/>
        <v>5.6999999999999993</v>
      </c>
      <c r="G293" s="23">
        <f t="shared" si="44"/>
        <v>4.8000000000000007</v>
      </c>
      <c r="H293" s="24">
        <f t="shared" si="49"/>
        <v>54.285714285714285</v>
      </c>
      <c r="I293" s="25">
        <v>3201</v>
      </c>
      <c r="J293" s="26">
        <f t="shared" si="45"/>
        <v>5.6999999999999993</v>
      </c>
      <c r="K293" s="21">
        <f t="shared" si="46"/>
        <v>27.915920999999994</v>
      </c>
      <c r="L293" s="27">
        <v>1.75</v>
      </c>
      <c r="M293" s="28">
        <v>5</v>
      </c>
      <c r="N293" s="29">
        <f t="shared" si="47"/>
        <v>4.5831841999999989</v>
      </c>
      <c r="O293" s="30">
        <f t="shared" si="48"/>
        <v>34.249105199999995</v>
      </c>
    </row>
    <row r="294" spans="1:15" x14ac:dyDescent="0.3">
      <c r="A294" s="19"/>
      <c r="B294" s="20">
        <v>0.6875</v>
      </c>
      <c r="C294" s="21">
        <v>36.799999999999997</v>
      </c>
      <c r="D294" s="22">
        <v>30.7</v>
      </c>
      <c r="E294" s="7">
        <v>26</v>
      </c>
      <c r="F294" s="11">
        <f t="shared" si="44"/>
        <v>6.0999999999999979</v>
      </c>
      <c r="G294" s="23">
        <f t="shared" si="44"/>
        <v>4.6999999999999993</v>
      </c>
      <c r="H294" s="24">
        <f t="shared" si="49"/>
        <v>56.481481481481474</v>
      </c>
      <c r="I294" s="25">
        <v>3178</v>
      </c>
      <c r="J294" s="26">
        <f t="shared" si="45"/>
        <v>6.0999999999999979</v>
      </c>
      <c r="K294" s="21">
        <f t="shared" si="46"/>
        <v>29.660273999999987</v>
      </c>
      <c r="L294" s="27">
        <v>1.75</v>
      </c>
      <c r="M294" s="28">
        <v>5</v>
      </c>
      <c r="N294" s="29">
        <f t="shared" si="47"/>
        <v>4.9320547999999977</v>
      </c>
      <c r="O294" s="30">
        <f t="shared" si="48"/>
        <v>36.342328799999983</v>
      </c>
    </row>
    <row r="295" spans="1:15" x14ac:dyDescent="0.3">
      <c r="A295" s="19"/>
      <c r="B295" s="20">
        <v>0.77083333333333337</v>
      </c>
      <c r="C295" s="21">
        <v>36.9</v>
      </c>
      <c r="D295" s="22">
        <v>30.6</v>
      </c>
      <c r="E295" s="7">
        <v>26</v>
      </c>
      <c r="F295" s="11">
        <f t="shared" si="44"/>
        <v>6.2999999999999972</v>
      </c>
      <c r="G295" s="23">
        <f t="shared" si="44"/>
        <v>4.6000000000000014</v>
      </c>
      <c r="H295" s="24">
        <f t="shared" si="49"/>
        <v>57.798165137614667</v>
      </c>
      <c r="I295" s="25">
        <v>3092</v>
      </c>
      <c r="J295" s="26">
        <f t="shared" si="45"/>
        <v>6.2999999999999972</v>
      </c>
      <c r="K295" s="21">
        <f t="shared" si="46"/>
        <v>29.803787999999987</v>
      </c>
      <c r="L295" s="27">
        <v>1.75</v>
      </c>
      <c r="M295" s="28">
        <v>5</v>
      </c>
      <c r="N295" s="29">
        <f t="shared" si="47"/>
        <v>4.9607575999999973</v>
      </c>
      <c r="O295" s="30">
        <f t="shared" si="48"/>
        <v>36.514545599999984</v>
      </c>
    </row>
    <row r="296" spans="1:15" x14ac:dyDescent="0.3">
      <c r="A296" s="19"/>
      <c r="B296" s="20">
        <v>0.85416666666666663</v>
      </c>
      <c r="C296" s="32">
        <v>39.4</v>
      </c>
      <c r="D296" s="22">
        <v>32.299999999999997</v>
      </c>
      <c r="E296" s="7">
        <v>26</v>
      </c>
      <c r="F296" s="11">
        <f t="shared" si="44"/>
        <v>7.1000000000000014</v>
      </c>
      <c r="G296" s="23">
        <f t="shared" si="44"/>
        <v>6.2999999999999972</v>
      </c>
      <c r="H296" s="24">
        <f t="shared" si="49"/>
        <v>52.985074626865689</v>
      </c>
      <c r="I296" s="25">
        <v>3216</v>
      </c>
      <c r="J296" s="26">
        <f t="shared" si="45"/>
        <v>7.1000000000000014</v>
      </c>
      <c r="K296" s="21">
        <f t="shared" si="46"/>
        <v>34.935408000000002</v>
      </c>
      <c r="L296" s="27">
        <v>1.75</v>
      </c>
      <c r="M296" s="28">
        <v>5</v>
      </c>
      <c r="N296" s="29">
        <f t="shared" si="47"/>
        <v>5.9870816000000007</v>
      </c>
      <c r="O296" s="30">
        <f t="shared" si="48"/>
        <v>42.672489600000006</v>
      </c>
    </row>
    <row r="297" spans="1:15" x14ac:dyDescent="0.3">
      <c r="A297" s="19"/>
      <c r="B297" s="20">
        <v>0.9375</v>
      </c>
      <c r="C297" s="21">
        <v>39.700000000000003</v>
      </c>
      <c r="D297" s="22">
        <v>32.5</v>
      </c>
      <c r="E297" s="7">
        <v>26</v>
      </c>
      <c r="F297" s="11">
        <f t="shared" si="44"/>
        <v>7.2000000000000028</v>
      </c>
      <c r="G297" s="23">
        <f t="shared" si="44"/>
        <v>6.5</v>
      </c>
      <c r="H297" s="24">
        <f t="shared" si="49"/>
        <v>52.554744525547456</v>
      </c>
      <c r="I297" s="25">
        <v>3168</v>
      </c>
      <c r="J297" s="26">
        <f t="shared" si="45"/>
        <v>7.2000000000000028</v>
      </c>
      <c r="K297" s="21">
        <f t="shared" si="46"/>
        <v>34.898688000000014</v>
      </c>
      <c r="L297" s="27">
        <v>1.75</v>
      </c>
      <c r="M297" s="28">
        <v>5</v>
      </c>
      <c r="N297" s="29">
        <f t="shared" si="47"/>
        <v>5.9797376000000027</v>
      </c>
      <c r="O297" s="30">
        <f t="shared" si="48"/>
        <v>42.628425600000014</v>
      </c>
    </row>
    <row r="298" spans="1:15" x14ac:dyDescent="0.3">
      <c r="A298" s="19"/>
      <c r="B298" s="20">
        <v>2.0833333333333332E-2</v>
      </c>
      <c r="C298" s="21">
        <v>39.5</v>
      </c>
      <c r="D298" s="22">
        <v>35.4</v>
      </c>
      <c r="E298" s="7">
        <v>26</v>
      </c>
      <c r="F298" s="11">
        <f t="shared" si="44"/>
        <v>4.1000000000000014</v>
      </c>
      <c r="G298" s="23">
        <f t="shared" si="44"/>
        <v>9.3999999999999986</v>
      </c>
      <c r="H298" s="24">
        <f t="shared" si="49"/>
        <v>30.370370370370381</v>
      </c>
      <c r="I298" s="25">
        <v>3186</v>
      </c>
      <c r="J298" s="26">
        <f t="shared" si="45"/>
        <v>4.1000000000000014</v>
      </c>
      <c r="K298" s="21">
        <f t="shared" si="46"/>
        <v>19.985778000000007</v>
      </c>
      <c r="L298" s="27">
        <v>1.75</v>
      </c>
      <c r="M298" s="28">
        <v>5</v>
      </c>
      <c r="N298" s="29">
        <f t="shared" si="47"/>
        <v>2.9971556000000015</v>
      </c>
      <c r="O298" s="30">
        <f t="shared" si="48"/>
        <v>24.73293360000001</v>
      </c>
    </row>
    <row r="299" spans="1:15" x14ac:dyDescent="0.3">
      <c r="A299" s="19"/>
      <c r="B299" s="20">
        <v>0.10416666666666667</v>
      </c>
      <c r="C299" s="21">
        <v>39</v>
      </c>
      <c r="D299" s="22">
        <v>31.8</v>
      </c>
      <c r="E299" s="7">
        <v>26</v>
      </c>
      <c r="F299" s="11">
        <f t="shared" si="44"/>
        <v>7.1999999999999993</v>
      </c>
      <c r="G299" s="23">
        <f t="shared" si="44"/>
        <v>5.8000000000000007</v>
      </c>
      <c r="H299" s="24">
        <f t="shared" si="49"/>
        <v>55.38461538461538</v>
      </c>
      <c r="I299" s="25">
        <v>3186</v>
      </c>
      <c r="J299" s="26">
        <f t="shared" si="45"/>
        <v>7.1999999999999993</v>
      </c>
      <c r="K299" s="21">
        <f t="shared" si="46"/>
        <v>35.096975999999998</v>
      </c>
      <c r="L299" s="27">
        <v>1.75</v>
      </c>
      <c r="M299" s="28">
        <v>5</v>
      </c>
      <c r="N299" s="29">
        <f t="shared" si="47"/>
        <v>6.0193951999999999</v>
      </c>
      <c r="O299" s="30">
        <f t="shared" si="48"/>
        <v>42.866371199999996</v>
      </c>
    </row>
    <row r="300" spans="1:15" x14ac:dyDescent="0.3">
      <c r="A300" s="19"/>
      <c r="B300" s="20">
        <v>0.1875</v>
      </c>
      <c r="C300" s="21">
        <v>38.4</v>
      </c>
      <c r="D300" s="35">
        <v>31.4</v>
      </c>
      <c r="E300" s="7">
        <v>26</v>
      </c>
      <c r="F300" s="11">
        <f t="shared" si="44"/>
        <v>7</v>
      </c>
      <c r="G300" s="23">
        <f t="shared" si="44"/>
        <v>5.3999999999999986</v>
      </c>
      <c r="H300" s="24">
        <f t="shared" si="49"/>
        <v>56.451612903225815</v>
      </c>
      <c r="I300" s="25">
        <v>3184</v>
      </c>
      <c r="J300" s="26">
        <f t="shared" si="45"/>
        <v>7</v>
      </c>
      <c r="K300" s="21">
        <f t="shared" si="46"/>
        <v>34.100639999999999</v>
      </c>
      <c r="L300" s="27">
        <v>1.75</v>
      </c>
      <c r="M300" s="28">
        <v>5</v>
      </c>
      <c r="N300" s="29">
        <f t="shared" si="47"/>
        <v>5.8201279999999995</v>
      </c>
      <c r="O300" s="30">
        <f t="shared" si="48"/>
        <v>41.670767999999995</v>
      </c>
    </row>
    <row r="301" spans="1:15" s="3" customFormat="1" x14ac:dyDescent="0.3">
      <c r="A301" s="34"/>
      <c r="B301" s="34"/>
      <c r="C301" s="34"/>
      <c r="D301" s="34"/>
      <c r="E301" s="34"/>
      <c r="F301" s="34"/>
      <c r="G301" s="34" t="s">
        <v>8</v>
      </c>
      <c r="H301" s="34">
        <f>AVERAGE(H289:H300)</f>
        <v>53.770199440768955</v>
      </c>
      <c r="I301" s="34"/>
      <c r="J301" s="34"/>
      <c r="K301" s="34">
        <f>AVERAGE(K289:K300)</f>
        <v>30.141344249999992</v>
      </c>
      <c r="L301" s="34"/>
      <c r="M301" s="34"/>
      <c r="N301" s="34">
        <f>AVERAGE(N289:N300)</f>
        <v>5.0282688499999981</v>
      </c>
      <c r="O301" s="34">
        <f>AVERAGE(O289:O300)</f>
        <v>36.919613099999999</v>
      </c>
    </row>
    <row r="302" spans="1:15" x14ac:dyDescent="0.3">
      <c r="A302" s="19">
        <v>44554</v>
      </c>
      <c r="B302" s="20">
        <v>0.27083333333333331</v>
      </c>
      <c r="C302" s="21">
        <v>38</v>
      </c>
      <c r="D302" s="22">
        <v>31.1</v>
      </c>
      <c r="E302" s="7">
        <v>26</v>
      </c>
      <c r="F302" s="11">
        <f t="shared" si="44"/>
        <v>6.8999999999999986</v>
      </c>
      <c r="G302" s="23">
        <f t="shared" si="44"/>
        <v>5.1000000000000014</v>
      </c>
      <c r="H302" s="24">
        <f t="shared" si="49"/>
        <v>57.499999999999986</v>
      </c>
      <c r="I302" s="25">
        <v>3123</v>
      </c>
      <c r="J302" s="26">
        <f t="shared" si="45"/>
        <v>6.8999999999999986</v>
      </c>
      <c r="K302" s="21">
        <f t="shared" si="46"/>
        <v>32.96951099999999</v>
      </c>
      <c r="L302" s="27">
        <v>1.75</v>
      </c>
      <c r="M302" s="28">
        <v>5</v>
      </c>
      <c r="N302" s="29">
        <f t="shared" si="47"/>
        <v>5.5939021999999978</v>
      </c>
      <c r="O302" s="30">
        <f t="shared" si="48"/>
        <v>40.313413199999985</v>
      </c>
    </row>
    <row r="303" spans="1:15" x14ac:dyDescent="0.3">
      <c r="A303" s="19"/>
      <c r="B303" s="20">
        <v>0.35416666666666669</v>
      </c>
      <c r="C303" s="21">
        <v>38.299999999999997</v>
      </c>
      <c r="D303" s="22">
        <v>31.2</v>
      </c>
      <c r="E303" s="7">
        <v>26</v>
      </c>
      <c r="F303" s="11">
        <f t="shared" si="44"/>
        <v>7.0999999999999979</v>
      </c>
      <c r="G303" s="23">
        <f t="shared" si="44"/>
        <v>5.1999999999999993</v>
      </c>
      <c r="H303" s="24">
        <f t="shared" si="49"/>
        <v>57.723577235772353</v>
      </c>
      <c r="I303" s="25">
        <v>3232</v>
      </c>
      <c r="J303" s="26">
        <f t="shared" si="45"/>
        <v>7.0999999999999979</v>
      </c>
      <c r="K303" s="21">
        <f t="shared" si="46"/>
        <v>35.109215999999989</v>
      </c>
      <c r="L303" s="27">
        <v>1.75</v>
      </c>
      <c r="M303" s="28">
        <v>5</v>
      </c>
      <c r="N303" s="29">
        <f t="shared" si="47"/>
        <v>6.0218431999999975</v>
      </c>
      <c r="O303" s="30">
        <f t="shared" si="48"/>
        <v>42.881059199999989</v>
      </c>
    </row>
    <row r="304" spans="1:15" x14ac:dyDescent="0.3">
      <c r="A304" s="19"/>
      <c r="B304" s="20">
        <v>0.4375</v>
      </c>
      <c r="C304" s="21">
        <v>39.6</v>
      </c>
      <c r="D304" s="22">
        <v>32.4</v>
      </c>
      <c r="E304" s="7">
        <v>26</v>
      </c>
      <c r="F304" s="11">
        <f t="shared" si="44"/>
        <v>7.2000000000000028</v>
      </c>
      <c r="G304" s="23">
        <f t="shared" si="44"/>
        <v>6.3999999999999986</v>
      </c>
      <c r="H304" s="24">
        <f t="shared" si="49"/>
        <v>52.941176470588246</v>
      </c>
      <c r="I304" s="25">
        <v>3179</v>
      </c>
      <c r="J304" s="26">
        <f t="shared" si="45"/>
        <v>7.2000000000000028</v>
      </c>
      <c r="K304" s="21">
        <f t="shared" si="46"/>
        <v>35.019864000000013</v>
      </c>
      <c r="L304" s="27">
        <v>1.75</v>
      </c>
      <c r="M304" s="28">
        <v>5</v>
      </c>
      <c r="N304" s="29">
        <f t="shared" si="47"/>
        <v>6.0039728000000023</v>
      </c>
      <c r="O304" s="30">
        <f t="shared" si="48"/>
        <v>42.773836800000012</v>
      </c>
    </row>
    <row r="305" spans="1:15" x14ac:dyDescent="0.3">
      <c r="A305" s="19"/>
      <c r="B305" s="20">
        <v>0.52083333333333337</v>
      </c>
      <c r="C305" s="21">
        <v>41.1</v>
      </c>
      <c r="D305" s="22">
        <v>33.799999999999997</v>
      </c>
      <c r="E305" s="7">
        <v>26</v>
      </c>
      <c r="F305" s="11">
        <f t="shared" si="44"/>
        <v>7.3000000000000043</v>
      </c>
      <c r="G305" s="23">
        <f t="shared" si="44"/>
        <v>7.7999999999999972</v>
      </c>
      <c r="H305" s="24">
        <f t="shared" si="49"/>
        <v>48.344370860927178</v>
      </c>
      <c r="I305" s="25">
        <v>3172</v>
      </c>
      <c r="J305" s="26">
        <f t="shared" si="45"/>
        <v>7.3000000000000043</v>
      </c>
      <c r="K305" s="21">
        <f t="shared" si="46"/>
        <v>35.428068000000017</v>
      </c>
      <c r="L305" s="27">
        <v>1.75</v>
      </c>
      <c r="M305" s="28">
        <v>5</v>
      </c>
      <c r="N305" s="29">
        <f t="shared" si="47"/>
        <v>6.0856136000000038</v>
      </c>
      <c r="O305" s="30">
        <f t="shared" si="48"/>
        <v>43.26368160000002</v>
      </c>
    </row>
    <row r="306" spans="1:15" x14ac:dyDescent="0.3">
      <c r="A306" s="19"/>
      <c r="B306" s="20">
        <v>0.60416666666666663</v>
      </c>
      <c r="C306" s="21">
        <v>41.8</v>
      </c>
      <c r="D306" s="22">
        <v>34.4</v>
      </c>
      <c r="E306" s="7">
        <v>26</v>
      </c>
      <c r="F306" s="11">
        <f t="shared" si="44"/>
        <v>7.3999999999999986</v>
      </c>
      <c r="G306" s="23">
        <f t="shared" si="44"/>
        <v>8.3999999999999986</v>
      </c>
      <c r="H306" s="24">
        <f t="shared" si="49"/>
        <v>46.835443037974684</v>
      </c>
      <c r="I306" s="25">
        <v>3147</v>
      </c>
      <c r="J306" s="26">
        <f t="shared" si="45"/>
        <v>7.3999999999999986</v>
      </c>
      <c r="K306" s="21">
        <f t="shared" si="46"/>
        <v>35.630333999999991</v>
      </c>
      <c r="L306" s="27">
        <v>1.75</v>
      </c>
      <c r="M306" s="28">
        <v>5</v>
      </c>
      <c r="N306" s="29">
        <f t="shared" si="47"/>
        <v>6.1260667999999985</v>
      </c>
      <c r="O306" s="30">
        <f t="shared" si="48"/>
        <v>43.506400799999987</v>
      </c>
    </row>
    <row r="307" spans="1:15" x14ac:dyDescent="0.3">
      <c r="A307" s="19"/>
      <c r="B307" s="20">
        <v>0.6875</v>
      </c>
      <c r="C307" s="21">
        <v>41.4</v>
      </c>
      <c r="D307" s="22">
        <v>34.1</v>
      </c>
      <c r="E307" s="7">
        <v>26</v>
      </c>
      <c r="F307" s="11">
        <f t="shared" si="44"/>
        <v>7.2999999999999972</v>
      </c>
      <c r="G307" s="23">
        <f t="shared" si="44"/>
        <v>8.1000000000000014</v>
      </c>
      <c r="H307" s="24">
        <f t="shared" si="49"/>
        <v>47.402597402597394</v>
      </c>
      <c r="I307" s="25">
        <v>3163</v>
      </c>
      <c r="J307" s="26">
        <f t="shared" si="45"/>
        <v>7.2999999999999972</v>
      </c>
      <c r="K307" s="21">
        <f t="shared" si="46"/>
        <v>35.327546999999988</v>
      </c>
      <c r="L307" s="27">
        <v>1.75</v>
      </c>
      <c r="M307" s="28">
        <v>5</v>
      </c>
      <c r="N307" s="29">
        <f t="shared" si="47"/>
        <v>6.0655093999999981</v>
      </c>
      <c r="O307" s="30">
        <f t="shared" si="48"/>
        <v>43.143056399999985</v>
      </c>
    </row>
    <row r="308" spans="1:15" x14ac:dyDescent="0.3">
      <c r="A308" s="19"/>
      <c r="B308" s="20">
        <v>0.77083333333333337</v>
      </c>
      <c r="C308" s="21">
        <v>41.6</v>
      </c>
      <c r="D308" s="22">
        <v>34.4</v>
      </c>
      <c r="E308" s="7">
        <v>26</v>
      </c>
      <c r="F308" s="11">
        <f t="shared" si="44"/>
        <v>7.2000000000000028</v>
      </c>
      <c r="G308" s="23">
        <f t="shared" si="44"/>
        <v>8.3999999999999986</v>
      </c>
      <c r="H308" s="24">
        <f t="shared" si="49"/>
        <v>46.153846153846168</v>
      </c>
      <c r="I308" s="25">
        <v>3202</v>
      </c>
      <c r="J308" s="26">
        <f t="shared" si="45"/>
        <v>7.2000000000000028</v>
      </c>
      <c r="K308" s="21">
        <f t="shared" si="46"/>
        <v>35.273232000000007</v>
      </c>
      <c r="L308" s="27">
        <v>1.75</v>
      </c>
      <c r="M308" s="28">
        <v>5</v>
      </c>
      <c r="N308" s="29">
        <f t="shared" si="47"/>
        <v>6.0546464000000011</v>
      </c>
      <c r="O308" s="30">
        <f t="shared" si="48"/>
        <v>43.07787840000001</v>
      </c>
    </row>
    <row r="309" spans="1:15" x14ac:dyDescent="0.3">
      <c r="A309" s="19"/>
      <c r="B309" s="20">
        <v>0.85416666666666663</v>
      </c>
      <c r="C309" s="32">
        <v>41.4</v>
      </c>
      <c r="D309" s="22">
        <v>34.299999999999997</v>
      </c>
      <c r="E309" s="7">
        <v>26</v>
      </c>
      <c r="F309" s="11">
        <f t="shared" si="44"/>
        <v>7.1000000000000014</v>
      </c>
      <c r="G309" s="23">
        <f t="shared" si="44"/>
        <v>8.2999999999999972</v>
      </c>
      <c r="H309" s="24">
        <f t="shared" si="49"/>
        <v>46.103896103896119</v>
      </c>
      <c r="I309" s="25">
        <v>3182</v>
      </c>
      <c r="J309" s="26">
        <f t="shared" si="45"/>
        <v>7.1000000000000014</v>
      </c>
      <c r="K309" s="21">
        <f t="shared" si="46"/>
        <v>34.566066000000006</v>
      </c>
      <c r="L309" s="27">
        <v>1.75</v>
      </c>
      <c r="M309" s="28">
        <v>5</v>
      </c>
      <c r="N309" s="29">
        <f t="shared" si="47"/>
        <v>5.9132132000000013</v>
      </c>
      <c r="O309" s="30">
        <f t="shared" si="48"/>
        <v>42.229279200000008</v>
      </c>
    </row>
    <row r="310" spans="1:15" x14ac:dyDescent="0.3">
      <c r="A310" s="19"/>
      <c r="B310" s="20">
        <v>0.9375</v>
      </c>
      <c r="C310" s="21">
        <v>40.9</v>
      </c>
      <c r="D310" s="22">
        <v>33</v>
      </c>
      <c r="E310" s="7">
        <v>26</v>
      </c>
      <c r="F310" s="11">
        <f t="shared" si="44"/>
        <v>7.8999999999999986</v>
      </c>
      <c r="G310" s="23">
        <f t="shared" si="44"/>
        <v>7</v>
      </c>
      <c r="H310" s="24">
        <f t="shared" si="49"/>
        <v>53.020134228187906</v>
      </c>
      <c r="I310" s="25">
        <v>3181</v>
      </c>
      <c r="J310" s="26">
        <f t="shared" si="45"/>
        <v>7.8999999999999986</v>
      </c>
      <c r="K310" s="21">
        <f t="shared" si="46"/>
        <v>38.44874699999999</v>
      </c>
      <c r="L310" s="27">
        <v>1.75</v>
      </c>
      <c r="M310" s="28">
        <v>5</v>
      </c>
      <c r="N310" s="29">
        <f t="shared" si="47"/>
        <v>6.6897493999999984</v>
      </c>
      <c r="O310" s="30">
        <f t="shared" si="48"/>
        <v>46.888496399999987</v>
      </c>
    </row>
    <row r="311" spans="1:15" x14ac:dyDescent="0.3">
      <c r="A311" s="19"/>
      <c r="B311" s="20">
        <v>2.0833333333333332E-2</v>
      </c>
      <c r="C311" s="21">
        <v>40.6</v>
      </c>
      <c r="D311" s="22">
        <v>33</v>
      </c>
      <c r="E311" s="7">
        <v>26</v>
      </c>
      <c r="F311" s="11">
        <f t="shared" ref="F311:G374" si="50">C311-D311</f>
        <v>7.6000000000000014</v>
      </c>
      <c r="G311" s="23">
        <f t="shared" si="50"/>
        <v>7</v>
      </c>
      <c r="H311" s="24">
        <f t="shared" si="49"/>
        <v>52.054794520547951</v>
      </c>
      <c r="I311" s="25">
        <v>3151</v>
      </c>
      <c r="J311" s="26">
        <f t="shared" si="45"/>
        <v>7.6000000000000014</v>
      </c>
      <c r="K311" s="21">
        <f t="shared" si="46"/>
        <v>36.639828000000001</v>
      </c>
      <c r="L311" s="27">
        <v>1.75</v>
      </c>
      <c r="M311" s="28">
        <v>5</v>
      </c>
      <c r="N311" s="29">
        <f t="shared" si="47"/>
        <v>6.3279656000000006</v>
      </c>
      <c r="O311" s="30">
        <f t="shared" si="48"/>
        <v>44.7177936</v>
      </c>
    </row>
    <row r="312" spans="1:15" x14ac:dyDescent="0.3">
      <c r="A312" s="19"/>
      <c r="B312" s="20">
        <v>0.10416666666666667</v>
      </c>
      <c r="C312" s="21">
        <v>41.1</v>
      </c>
      <c r="D312" s="22">
        <v>33</v>
      </c>
      <c r="E312" s="7">
        <v>26</v>
      </c>
      <c r="F312" s="11">
        <f t="shared" si="50"/>
        <v>8.1000000000000014</v>
      </c>
      <c r="G312" s="23">
        <f t="shared" si="50"/>
        <v>7</v>
      </c>
      <c r="H312" s="24">
        <f t="shared" si="49"/>
        <v>53.642384105960275</v>
      </c>
      <c r="I312" s="25">
        <v>3201</v>
      </c>
      <c r="J312" s="26">
        <f t="shared" si="45"/>
        <v>8.1000000000000014</v>
      </c>
      <c r="K312" s="21">
        <f t="shared" si="46"/>
        <v>39.669993000000005</v>
      </c>
      <c r="L312" s="27">
        <v>1.75</v>
      </c>
      <c r="M312" s="28">
        <v>5</v>
      </c>
      <c r="N312" s="29">
        <f t="shared" si="47"/>
        <v>6.9339986000000007</v>
      </c>
      <c r="O312" s="30">
        <f t="shared" si="48"/>
        <v>48.353991600000008</v>
      </c>
    </row>
    <row r="313" spans="1:15" x14ac:dyDescent="0.3">
      <c r="A313" s="19"/>
      <c r="B313" s="20">
        <v>0.1875</v>
      </c>
      <c r="C313" s="21">
        <v>40.700000000000003</v>
      </c>
      <c r="D313" s="35">
        <v>33.5</v>
      </c>
      <c r="E313" s="7">
        <v>26</v>
      </c>
      <c r="F313" s="11">
        <f t="shared" si="50"/>
        <v>7.2000000000000028</v>
      </c>
      <c r="G313" s="23">
        <f t="shared" si="50"/>
        <v>7.5</v>
      </c>
      <c r="H313" s="24">
        <f t="shared" si="49"/>
        <v>48.979591836734706</v>
      </c>
      <c r="I313" s="25">
        <v>3161</v>
      </c>
      <c r="J313" s="26">
        <f t="shared" si="45"/>
        <v>7.2000000000000028</v>
      </c>
      <c r="K313" s="21">
        <f t="shared" si="46"/>
        <v>34.821576000000007</v>
      </c>
      <c r="L313" s="27">
        <v>1.75</v>
      </c>
      <c r="M313" s="28">
        <v>5</v>
      </c>
      <c r="N313" s="29">
        <f t="shared" si="47"/>
        <v>5.9643152000000015</v>
      </c>
      <c r="O313" s="30">
        <f t="shared" si="48"/>
        <v>42.535891200000009</v>
      </c>
    </row>
    <row r="314" spans="1:15" s="3" customFormat="1" x14ac:dyDescent="0.3">
      <c r="A314" s="34"/>
      <c r="B314" s="34"/>
      <c r="C314" s="34"/>
      <c r="D314" s="34"/>
      <c r="E314" s="34"/>
      <c r="F314" s="34"/>
      <c r="G314" s="34" t="s">
        <v>8</v>
      </c>
      <c r="H314" s="34">
        <f>AVERAGE(H302:H313)</f>
        <v>50.89181766308608</v>
      </c>
      <c r="I314" s="34"/>
      <c r="J314" s="34"/>
      <c r="K314" s="34">
        <f>AVERAGE(K302:K313)</f>
        <v>35.741998500000001</v>
      </c>
      <c r="L314" s="34"/>
      <c r="M314" s="34"/>
      <c r="N314" s="34">
        <f>AVERAGE(N302:N313)</f>
        <v>6.1483996999999997</v>
      </c>
      <c r="O314" s="34">
        <f>AVERAGE(O302:O313)</f>
        <v>43.6403982</v>
      </c>
    </row>
    <row r="315" spans="1:15" x14ac:dyDescent="0.3">
      <c r="A315" s="19">
        <v>44555</v>
      </c>
      <c r="B315" s="20">
        <v>0.27083333333333331</v>
      </c>
      <c r="C315" s="21">
        <v>40</v>
      </c>
      <c r="D315" s="22">
        <v>33.1</v>
      </c>
      <c r="E315" s="7">
        <v>26</v>
      </c>
      <c r="F315" s="11">
        <f t="shared" si="50"/>
        <v>6.8999999999999986</v>
      </c>
      <c r="G315" s="23">
        <f t="shared" si="50"/>
        <v>7.1000000000000014</v>
      </c>
      <c r="H315" s="24">
        <f t="shared" si="49"/>
        <v>49.285714285714278</v>
      </c>
      <c r="I315" s="25">
        <v>3204</v>
      </c>
      <c r="J315" s="26">
        <f t="shared" si="45"/>
        <v>6.8999999999999986</v>
      </c>
      <c r="K315" s="21">
        <f t="shared" si="46"/>
        <v>33.82462799999999</v>
      </c>
      <c r="L315" s="27">
        <v>1.75</v>
      </c>
      <c r="M315" s="28">
        <v>5</v>
      </c>
      <c r="N315" s="29">
        <f t="shared" si="47"/>
        <v>5.764925599999998</v>
      </c>
      <c r="O315" s="30">
        <f t="shared" si="48"/>
        <v>41.339553599999988</v>
      </c>
    </row>
    <row r="316" spans="1:15" x14ac:dyDescent="0.3">
      <c r="A316" s="19"/>
      <c r="B316" s="20">
        <v>0.35416666666666669</v>
      </c>
      <c r="C316" s="21">
        <v>40.1</v>
      </c>
      <c r="D316" s="22">
        <v>33.200000000000003</v>
      </c>
      <c r="E316" s="7">
        <v>26</v>
      </c>
      <c r="F316" s="11">
        <f t="shared" si="50"/>
        <v>6.8999999999999986</v>
      </c>
      <c r="G316" s="23">
        <f t="shared" si="50"/>
        <v>7.2000000000000028</v>
      </c>
      <c r="H316" s="24">
        <f t="shared" si="49"/>
        <v>48.936170212765944</v>
      </c>
      <c r="I316" s="25">
        <v>3218</v>
      </c>
      <c r="J316" s="26">
        <f t="shared" si="45"/>
        <v>6.8999999999999986</v>
      </c>
      <c r="K316" s="21">
        <f t="shared" si="46"/>
        <v>33.972425999999992</v>
      </c>
      <c r="L316" s="27">
        <v>1.75</v>
      </c>
      <c r="M316" s="28">
        <v>5</v>
      </c>
      <c r="N316" s="29">
        <f t="shared" si="47"/>
        <v>5.7944851999999987</v>
      </c>
      <c r="O316" s="30">
        <f t="shared" si="48"/>
        <v>41.516911199999988</v>
      </c>
    </row>
    <row r="317" spans="1:15" x14ac:dyDescent="0.3">
      <c r="A317" s="19"/>
      <c r="B317" s="20">
        <v>0.4375</v>
      </c>
      <c r="C317" s="21">
        <v>40.9</v>
      </c>
      <c r="D317" s="22">
        <v>34.1</v>
      </c>
      <c r="E317" s="7">
        <v>26</v>
      </c>
      <c r="F317" s="11">
        <f t="shared" si="50"/>
        <v>6.7999999999999972</v>
      </c>
      <c r="G317" s="23">
        <f t="shared" si="50"/>
        <v>8.1000000000000014</v>
      </c>
      <c r="H317" s="24">
        <f t="shared" si="49"/>
        <v>45.637583892617435</v>
      </c>
      <c r="I317" s="25">
        <v>3139</v>
      </c>
      <c r="J317" s="26">
        <f t="shared" si="45"/>
        <v>6.7999999999999972</v>
      </c>
      <c r="K317" s="21">
        <f t="shared" si="46"/>
        <v>32.658155999999984</v>
      </c>
      <c r="L317" s="27">
        <v>1.75</v>
      </c>
      <c r="M317" s="28">
        <v>5</v>
      </c>
      <c r="N317" s="29">
        <f t="shared" si="47"/>
        <v>5.531631199999997</v>
      </c>
      <c r="O317" s="30">
        <f t="shared" si="48"/>
        <v>39.939787199999984</v>
      </c>
    </row>
    <row r="318" spans="1:15" x14ac:dyDescent="0.3">
      <c r="A318" s="19"/>
      <c r="B318" s="20">
        <v>0.52083333333333337</v>
      </c>
      <c r="C318" s="21">
        <v>42</v>
      </c>
      <c r="D318" s="22">
        <v>35</v>
      </c>
      <c r="E318" s="7">
        <v>26</v>
      </c>
      <c r="F318" s="11">
        <f t="shared" si="50"/>
        <v>7</v>
      </c>
      <c r="G318" s="23">
        <f t="shared" si="50"/>
        <v>9</v>
      </c>
      <c r="H318" s="24">
        <f t="shared" si="49"/>
        <v>43.75</v>
      </c>
      <c r="I318" s="25">
        <v>3167</v>
      </c>
      <c r="J318" s="26">
        <f t="shared" si="45"/>
        <v>7</v>
      </c>
      <c r="K318" s="21">
        <f t="shared" si="46"/>
        <v>33.918570000000003</v>
      </c>
      <c r="L318" s="27">
        <v>1.75</v>
      </c>
      <c r="M318" s="28">
        <v>5</v>
      </c>
      <c r="N318" s="29">
        <f t="shared" si="47"/>
        <v>5.7837140000000007</v>
      </c>
      <c r="O318" s="30">
        <f t="shared" si="48"/>
        <v>41.452284000000006</v>
      </c>
    </row>
    <row r="319" spans="1:15" x14ac:dyDescent="0.3">
      <c r="A319" s="19"/>
      <c r="B319" s="20">
        <v>0.60416666666666663</v>
      </c>
      <c r="C319" s="21">
        <v>42.4</v>
      </c>
      <c r="D319" s="22">
        <v>35.4</v>
      </c>
      <c r="E319" s="7">
        <v>26</v>
      </c>
      <c r="F319" s="11">
        <f t="shared" si="50"/>
        <v>7</v>
      </c>
      <c r="G319" s="23">
        <f t="shared" si="50"/>
        <v>9.3999999999999986</v>
      </c>
      <c r="H319" s="24">
        <f t="shared" si="49"/>
        <v>42.682926829268297</v>
      </c>
      <c r="I319" s="25">
        <v>3173</v>
      </c>
      <c r="J319" s="26">
        <f t="shared" si="45"/>
        <v>7</v>
      </c>
      <c r="K319" s="21">
        <f t="shared" si="46"/>
        <v>33.98283</v>
      </c>
      <c r="L319" s="27">
        <v>1.75</v>
      </c>
      <c r="M319" s="28">
        <v>5</v>
      </c>
      <c r="N319" s="29">
        <f t="shared" si="47"/>
        <v>5.7965660000000003</v>
      </c>
      <c r="O319" s="30">
        <f t="shared" si="48"/>
        <v>41.529395999999998</v>
      </c>
    </row>
    <row r="320" spans="1:15" x14ac:dyDescent="0.3">
      <c r="A320" s="19"/>
      <c r="B320" s="20">
        <v>0.6875</v>
      </c>
      <c r="C320" s="21">
        <v>42.3</v>
      </c>
      <c r="D320" s="22">
        <v>35.200000000000003</v>
      </c>
      <c r="E320" s="7">
        <v>26</v>
      </c>
      <c r="F320" s="11">
        <f t="shared" si="50"/>
        <v>7.0999999999999943</v>
      </c>
      <c r="G320" s="23">
        <f t="shared" si="50"/>
        <v>9.2000000000000028</v>
      </c>
      <c r="H320" s="24">
        <f t="shared" si="49"/>
        <v>43.558282208588928</v>
      </c>
      <c r="I320" s="25">
        <v>3134</v>
      </c>
      <c r="J320" s="26">
        <f t="shared" si="45"/>
        <v>7.0999999999999943</v>
      </c>
      <c r="K320" s="21">
        <f t="shared" si="46"/>
        <v>34.044641999999975</v>
      </c>
      <c r="L320" s="27">
        <v>1.75</v>
      </c>
      <c r="M320" s="28">
        <v>5</v>
      </c>
      <c r="N320" s="29">
        <f t="shared" si="47"/>
        <v>5.8089283999999948</v>
      </c>
      <c r="O320" s="30">
        <f t="shared" si="48"/>
        <v>41.603570399999967</v>
      </c>
    </row>
    <row r="321" spans="1:15" x14ac:dyDescent="0.3">
      <c r="A321" s="19"/>
      <c r="B321" s="20">
        <v>0.77083333333333337</v>
      </c>
      <c r="C321" s="21">
        <v>42.1</v>
      </c>
      <c r="D321" s="22">
        <v>35.1</v>
      </c>
      <c r="E321" s="7">
        <v>26</v>
      </c>
      <c r="F321" s="11">
        <f t="shared" si="50"/>
        <v>7</v>
      </c>
      <c r="G321" s="23">
        <f t="shared" si="50"/>
        <v>9.1000000000000014</v>
      </c>
      <c r="H321" s="24">
        <f t="shared" si="49"/>
        <v>43.478260869565219</v>
      </c>
      <c r="I321" s="25">
        <v>3161</v>
      </c>
      <c r="J321" s="26">
        <f t="shared" si="45"/>
        <v>7</v>
      </c>
      <c r="K321" s="21">
        <f t="shared" si="46"/>
        <v>33.854309999999998</v>
      </c>
      <c r="L321" s="27">
        <v>1.75</v>
      </c>
      <c r="M321" s="28">
        <v>5</v>
      </c>
      <c r="N321" s="29">
        <f t="shared" si="47"/>
        <v>5.7708619999999993</v>
      </c>
      <c r="O321" s="30">
        <f t="shared" si="48"/>
        <v>41.375171999999999</v>
      </c>
    </row>
    <row r="322" spans="1:15" x14ac:dyDescent="0.3">
      <c r="A322" s="19"/>
      <c r="B322" s="20">
        <v>0.85416666666666663</v>
      </c>
      <c r="C322" s="32">
        <v>41.7</v>
      </c>
      <c r="D322" s="22">
        <v>34.6</v>
      </c>
      <c r="E322" s="7">
        <v>26</v>
      </c>
      <c r="F322" s="11">
        <f t="shared" si="50"/>
        <v>7.1000000000000014</v>
      </c>
      <c r="G322" s="23">
        <f t="shared" si="50"/>
        <v>8.6000000000000014</v>
      </c>
      <c r="H322" s="24">
        <f t="shared" si="49"/>
        <v>45.222929936305732</v>
      </c>
      <c r="I322" s="25">
        <v>3113</v>
      </c>
      <c r="J322" s="26">
        <f t="shared" si="45"/>
        <v>7.1000000000000014</v>
      </c>
      <c r="K322" s="21">
        <f t="shared" si="46"/>
        <v>33.816519000000007</v>
      </c>
      <c r="L322" s="27">
        <v>1.75</v>
      </c>
      <c r="M322" s="28">
        <v>5</v>
      </c>
      <c r="N322" s="29">
        <f t="shared" si="47"/>
        <v>5.763303800000001</v>
      </c>
      <c r="O322" s="30">
        <f t="shared" si="48"/>
        <v>41.329822800000009</v>
      </c>
    </row>
    <row r="323" spans="1:15" x14ac:dyDescent="0.3">
      <c r="A323" s="19"/>
      <c r="B323" s="20">
        <v>0.9375</v>
      </c>
      <c r="C323" s="21">
        <v>41.3</v>
      </c>
      <c r="D323" s="22">
        <v>34.1</v>
      </c>
      <c r="E323" s="7">
        <v>26</v>
      </c>
      <c r="F323" s="11">
        <f t="shared" si="50"/>
        <v>7.1999999999999957</v>
      </c>
      <c r="G323" s="23">
        <f t="shared" si="50"/>
        <v>8.1000000000000014</v>
      </c>
      <c r="H323" s="24">
        <f t="shared" si="49"/>
        <v>47.058823529411747</v>
      </c>
      <c r="I323" s="25">
        <v>3189</v>
      </c>
      <c r="J323" s="26">
        <f t="shared" si="45"/>
        <v>7.1999999999999957</v>
      </c>
      <c r="K323" s="21">
        <f t="shared" si="46"/>
        <v>35.130023999999977</v>
      </c>
      <c r="L323" s="27">
        <v>1.75</v>
      </c>
      <c r="M323" s="28">
        <v>5</v>
      </c>
      <c r="N323" s="29">
        <f t="shared" si="47"/>
        <v>6.0260047999999955</v>
      </c>
      <c r="O323" s="30">
        <f t="shared" si="48"/>
        <v>42.906028799999973</v>
      </c>
    </row>
    <row r="324" spans="1:15" x14ac:dyDescent="0.3">
      <c r="A324" s="19"/>
      <c r="B324" s="20">
        <v>2.0833333333333332E-2</v>
      </c>
      <c r="C324" s="21"/>
      <c r="D324" s="22"/>
      <c r="E324" s="7">
        <v>26</v>
      </c>
      <c r="F324" s="11"/>
      <c r="G324" s="23"/>
      <c r="H324" s="24"/>
      <c r="I324" s="25"/>
      <c r="J324" s="26">
        <f t="shared" ref="J324:J387" si="51">C324-D324</f>
        <v>0</v>
      </c>
      <c r="K324" s="21">
        <f t="shared" ref="K324:K387" si="52">0.00085*1.8*I324*J324</f>
        <v>0</v>
      </c>
      <c r="L324" s="27">
        <v>1.75</v>
      </c>
      <c r="M324" s="28">
        <v>5</v>
      </c>
      <c r="N324" s="29">
        <f t="shared" ref="N324:N387" si="53">K324/M324-1</f>
        <v>-1</v>
      </c>
      <c r="O324" s="30">
        <f t="shared" ref="O324:O387" si="54">K324+L324+N324</f>
        <v>0.75</v>
      </c>
    </row>
    <row r="325" spans="1:15" x14ac:dyDescent="0.3">
      <c r="A325" s="19"/>
      <c r="B325" s="20">
        <v>0.10416666666666667</v>
      </c>
      <c r="C325" s="21"/>
      <c r="D325" s="22"/>
      <c r="E325" s="7">
        <v>26</v>
      </c>
      <c r="F325" s="11"/>
      <c r="G325" s="23"/>
      <c r="H325" s="24"/>
      <c r="I325" s="25"/>
      <c r="J325" s="26">
        <f t="shared" si="51"/>
        <v>0</v>
      </c>
      <c r="K325" s="21">
        <f t="shared" si="52"/>
        <v>0</v>
      </c>
      <c r="L325" s="27">
        <v>1.75</v>
      </c>
      <c r="M325" s="28">
        <v>5</v>
      </c>
      <c r="N325" s="29">
        <f t="shared" si="53"/>
        <v>-1</v>
      </c>
      <c r="O325" s="30">
        <f t="shared" si="54"/>
        <v>0.75</v>
      </c>
    </row>
    <row r="326" spans="1:15" x14ac:dyDescent="0.3">
      <c r="A326" s="19"/>
      <c r="B326" s="20">
        <v>0.1875</v>
      </c>
      <c r="C326" s="21"/>
      <c r="D326" s="35"/>
      <c r="E326" s="7">
        <v>26</v>
      </c>
      <c r="F326" s="11"/>
      <c r="G326" s="23"/>
      <c r="H326" s="24"/>
      <c r="I326" s="25"/>
      <c r="J326" s="26">
        <f t="shared" si="51"/>
        <v>0</v>
      </c>
      <c r="K326" s="21">
        <f t="shared" si="52"/>
        <v>0</v>
      </c>
      <c r="L326" s="27">
        <v>1.75</v>
      </c>
      <c r="M326" s="28">
        <v>5</v>
      </c>
      <c r="N326" s="29">
        <f t="shared" si="53"/>
        <v>-1</v>
      </c>
      <c r="O326" s="30">
        <f t="shared" si="54"/>
        <v>0.75</v>
      </c>
    </row>
    <row r="327" spans="1:15" s="3" customFormat="1" x14ac:dyDescent="0.3">
      <c r="A327" s="34"/>
      <c r="B327" s="34"/>
      <c r="C327" s="34"/>
      <c r="D327" s="34"/>
      <c r="E327" s="34"/>
      <c r="F327" s="34"/>
      <c r="G327" s="34" t="s">
        <v>8</v>
      </c>
      <c r="H327" s="34">
        <f>AVERAGE(H315:H326)</f>
        <v>45.512299084915291</v>
      </c>
      <c r="I327" s="34"/>
      <c r="J327" s="34"/>
      <c r="K327" s="34">
        <f>AVERAGE(K315:K326)</f>
        <v>25.433508749999998</v>
      </c>
      <c r="L327" s="34"/>
      <c r="M327" s="34"/>
      <c r="N327" s="34">
        <f>AVERAGE(N315:N326)</f>
        <v>4.0867017499999987</v>
      </c>
      <c r="O327" s="34">
        <f>AVERAGE(O315:O326)</f>
        <v>31.27021049999999</v>
      </c>
    </row>
    <row r="328" spans="1:15" x14ac:dyDescent="0.3">
      <c r="A328" s="19">
        <v>44556</v>
      </c>
      <c r="B328" s="20">
        <v>0.27083333333333331</v>
      </c>
      <c r="C328" s="21"/>
      <c r="D328" s="22"/>
      <c r="E328" s="7">
        <v>26</v>
      </c>
      <c r="F328" s="11"/>
      <c r="G328" s="23"/>
      <c r="H328" s="24"/>
      <c r="I328" s="25"/>
      <c r="J328" s="26">
        <f t="shared" si="51"/>
        <v>0</v>
      </c>
      <c r="K328" s="21">
        <f t="shared" si="52"/>
        <v>0</v>
      </c>
      <c r="L328" s="27">
        <v>1.75</v>
      </c>
      <c r="M328" s="28">
        <v>5</v>
      </c>
      <c r="N328" s="29">
        <f t="shared" si="53"/>
        <v>-1</v>
      </c>
      <c r="O328" s="30">
        <f t="shared" si="54"/>
        <v>0.75</v>
      </c>
    </row>
    <row r="329" spans="1:15" x14ac:dyDescent="0.3">
      <c r="A329" s="19"/>
      <c r="B329" s="20">
        <v>0.35416666666666669</v>
      </c>
      <c r="C329" s="21"/>
      <c r="D329" s="22"/>
      <c r="E329" s="7">
        <v>26</v>
      </c>
      <c r="F329" s="11"/>
      <c r="G329" s="23"/>
      <c r="H329" s="24"/>
      <c r="I329" s="25"/>
      <c r="J329" s="26">
        <f t="shared" si="51"/>
        <v>0</v>
      </c>
      <c r="K329" s="21">
        <f t="shared" si="52"/>
        <v>0</v>
      </c>
      <c r="L329" s="27">
        <v>1.75</v>
      </c>
      <c r="M329" s="28">
        <v>5</v>
      </c>
      <c r="N329" s="29">
        <f t="shared" si="53"/>
        <v>-1</v>
      </c>
      <c r="O329" s="30">
        <f t="shared" si="54"/>
        <v>0.75</v>
      </c>
    </row>
    <row r="330" spans="1:15" x14ac:dyDescent="0.3">
      <c r="A330" s="19"/>
      <c r="B330" s="20">
        <v>0.4375</v>
      </c>
      <c r="C330" s="21">
        <v>37.200000000000003</v>
      </c>
      <c r="D330" s="22">
        <v>31.4</v>
      </c>
      <c r="E330" s="7">
        <v>26</v>
      </c>
      <c r="F330" s="11">
        <f t="shared" si="50"/>
        <v>5.8000000000000043</v>
      </c>
      <c r="G330" s="23">
        <f t="shared" ref="G330:G351" si="55">D330-E330</f>
        <v>5.3999999999999986</v>
      </c>
      <c r="H330" s="24">
        <f t="shared" si="49"/>
        <v>51.785714285714313</v>
      </c>
      <c r="I330" s="25">
        <v>3202</v>
      </c>
      <c r="J330" s="26">
        <f t="shared" si="51"/>
        <v>5.8000000000000043</v>
      </c>
      <c r="K330" s="21">
        <f t="shared" si="52"/>
        <v>28.414548000000018</v>
      </c>
      <c r="L330" s="27">
        <v>1.75</v>
      </c>
      <c r="M330" s="28">
        <v>5</v>
      </c>
      <c r="N330" s="29">
        <f t="shared" si="53"/>
        <v>4.6829096000000039</v>
      </c>
      <c r="O330" s="30">
        <f t="shared" si="54"/>
        <v>34.84745760000002</v>
      </c>
    </row>
    <row r="331" spans="1:15" x14ac:dyDescent="0.3">
      <c r="A331" s="19"/>
      <c r="B331" s="20">
        <v>0.52083333333333337</v>
      </c>
      <c r="C331" s="21">
        <v>41</v>
      </c>
      <c r="D331" s="22">
        <v>34</v>
      </c>
      <c r="E331" s="7">
        <v>26</v>
      </c>
      <c r="F331" s="11">
        <f t="shared" si="50"/>
        <v>7</v>
      </c>
      <c r="G331" s="23">
        <f t="shared" si="55"/>
        <v>8</v>
      </c>
      <c r="H331" s="24">
        <f t="shared" si="49"/>
        <v>46.666666666666664</v>
      </c>
      <c r="I331" s="25">
        <v>3154</v>
      </c>
      <c r="J331" s="26">
        <f t="shared" si="51"/>
        <v>7</v>
      </c>
      <c r="K331" s="21">
        <f t="shared" si="52"/>
        <v>33.779339999999998</v>
      </c>
      <c r="L331" s="27">
        <v>1.75</v>
      </c>
      <c r="M331" s="28">
        <v>5</v>
      </c>
      <c r="N331" s="29">
        <f t="shared" si="53"/>
        <v>5.7558679999999995</v>
      </c>
      <c r="O331" s="30">
        <f t="shared" si="54"/>
        <v>41.285207999999997</v>
      </c>
    </row>
    <row r="332" spans="1:15" x14ac:dyDescent="0.3">
      <c r="A332" s="19"/>
      <c r="B332" s="20">
        <v>0.60416666666666663</v>
      </c>
      <c r="C332" s="21">
        <v>42.3</v>
      </c>
      <c r="D332" s="22">
        <v>35.1</v>
      </c>
      <c r="E332" s="7">
        <v>26</v>
      </c>
      <c r="F332" s="11">
        <f t="shared" si="50"/>
        <v>7.1999999999999957</v>
      </c>
      <c r="G332" s="23">
        <f t="shared" si="55"/>
        <v>9.1000000000000014</v>
      </c>
      <c r="H332" s="24">
        <f t="shared" si="49"/>
        <v>44.171779141104281</v>
      </c>
      <c r="I332" s="25">
        <v>3074</v>
      </c>
      <c r="J332" s="26">
        <f t="shared" si="51"/>
        <v>7.1999999999999957</v>
      </c>
      <c r="K332" s="21">
        <f t="shared" si="52"/>
        <v>33.863183999999983</v>
      </c>
      <c r="L332" s="27">
        <v>1.75</v>
      </c>
      <c r="M332" s="28">
        <v>5</v>
      </c>
      <c r="N332" s="29">
        <f t="shared" si="53"/>
        <v>5.7726367999999963</v>
      </c>
      <c r="O332" s="30">
        <f t="shared" si="54"/>
        <v>41.385820799999976</v>
      </c>
    </row>
    <row r="333" spans="1:15" x14ac:dyDescent="0.3">
      <c r="A333" s="19"/>
      <c r="B333" s="20">
        <v>0.6875</v>
      </c>
      <c r="C333" s="21">
        <v>43</v>
      </c>
      <c r="D333" s="22">
        <v>35.5</v>
      </c>
      <c r="E333" s="7">
        <v>26</v>
      </c>
      <c r="F333" s="11">
        <f t="shared" si="50"/>
        <v>7.5</v>
      </c>
      <c r="G333" s="23">
        <f t="shared" si="55"/>
        <v>9.5</v>
      </c>
      <c r="H333" s="24">
        <f t="shared" si="49"/>
        <v>44.117647058823529</v>
      </c>
      <c r="I333" s="25">
        <v>3150</v>
      </c>
      <c r="J333" s="26">
        <f t="shared" si="51"/>
        <v>7.5</v>
      </c>
      <c r="K333" s="21">
        <f t="shared" si="52"/>
        <v>36.146249999999995</v>
      </c>
      <c r="L333" s="27">
        <v>1.75</v>
      </c>
      <c r="M333" s="28">
        <v>5</v>
      </c>
      <c r="N333" s="29">
        <f t="shared" si="53"/>
        <v>6.2292499999999986</v>
      </c>
      <c r="O333" s="30">
        <f t="shared" si="54"/>
        <v>44.125499999999995</v>
      </c>
    </row>
    <row r="334" spans="1:15" x14ac:dyDescent="0.3">
      <c r="A334" s="19"/>
      <c r="B334" s="20">
        <v>0.77083333333333337</v>
      </c>
      <c r="C334" s="21">
        <v>42.8</v>
      </c>
      <c r="D334" s="22">
        <v>35.5</v>
      </c>
      <c r="E334" s="7">
        <v>26</v>
      </c>
      <c r="F334" s="11">
        <f t="shared" si="50"/>
        <v>7.2999999999999972</v>
      </c>
      <c r="G334" s="23">
        <f t="shared" si="55"/>
        <v>9.5</v>
      </c>
      <c r="H334" s="24">
        <f t="shared" si="49"/>
        <v>43.452380952380942</v>
      </c>
      <c r="I334" s="25">
        <v>3168</v>
      </c>
      <c r="J334" s="26">
        <f t="shared" si="51"/>
        <v>7.2999999999999972</v>
      </c>
      <c r="K334" s="21">
        <f t="shared" si="52"/>
        <v>35.383391999999986</v>
      </c>
      <c r="L334" s="27">
        <v>1.75</v>
      </c>
      <c r="M334" s="28">
        <v>5</v>
      </c>
      <c r="N334" s="29">
        <f t="shared" si="53"/>
        <v>6.0766783999999969</v>
      </c>
      <c r="O334" s="30">
        <f t="shared" si="54"/>
        <v>43.210070399999985</v>
      </c>
    </row>
    <row r="335" spans="1:15" x14ac:dyDescent="0.3">
      <c r="A335" s="19"/>
      <c r="B335" s="20">
        <v>0.85416666666666663</v>
      </c>
      <c r="C335" s="21">
        <v>42.7</v>
      </c>
      <c r="D335" s="22">
        <v>35.299999999999997</v>
      </c>
      <c r="E335" s="7">
        <v>26</v>
      </c>
      <c r="F335" s="11">
        <f t="shared" si="50"/>
        <v>7.4000000000000057</v>
      </c>
      <c r="G335" s="23">
        <f t="shared" si="55"/>
        <v>9.2999999999999972</v>
      </c>
      <c r="H335" s="24">
        <f t="shared" si="49"/>
        <v>44.311377245509007</v>
      </c>
      <c r="I335" s="25">
        <v>3233</v>
      </c>
      <c r="J335" s="26">
        <f t="shared" si="51"/>
        <v>7.4000000000000057</v>
      </c>
      <c r="K335" s="21">
        <f t="shared" si="52"/>
        <v>36.604026000000026</v>
      </c>
      <c r="L335" s="27">
        <v>1.75</v>
      </c>
      <c r="M335" s="28">
        <v>5</v>
      </c>
      <c r="N335" s="29">
        <f t="shared" si="53"/>
        <v>6.320805200000005</v>
      </c>
      <c r="O335" s="30">
        <f t="shared" si="54"/>
        <v>44.674831200000028</v>
      </c>
    </row>
    <row r="336" spans="1:15" x14ac:dyDescent="0.3">
      <c r="A336" s="19"/>
      <c r="B336" s="20">
        <v>0.9375</v>
      </c>
      <c r="C336" s="21">
        <v>40.6</v>
      </c>
      <c r="D336" s="22">
        <v>34.1</v>
      </c>
      <c r="E336" s="7">
        <v>26</v>
      </c>
      <c r="F336" s="11">
        <f t="shared" si="50"/>
        <v>6.5</v>
      </c>
      <c r="G336" s="23">
        <f t="shared" si="55"/>
        <v>8.1000000000000014</v>
      </c>
      <c r="H336" s="24">
        <f t="shared" si="49"/>
        <v>44.520547945205472</v>
      </c>
      <c r="I336" s="25">
        <v>3167</v>
      </c>
      <c r="J336" s="26">
        <f t="shared" si="51"/>
        <v>6.5</v>
      </c>
      <c r="K336" s="21">
        <f t="shared" si="52"/>
        <v>31.495815</v>
      </c>
      <c r="L336" s="27">
        <v>1.75</v>
      </c>
      <c r="M336" s="28">
        <v>5</v>
      </c>
      <c r="N336" s="29">
        <f t="shared" si="53"/>
        <v>5.2991630000000001</v>
      </c>
      <c r="O336" s="30">
        <f t="shared" si="54"/>
        <v>38.544978</v>
      </c>
    </row>
    <row r="337" spans="1:15" x14ac:dyDescent="0.3">
      <c r="A337" s="19"/>
      <c r="B337" s="20">
        <v>2.0833333333333332E-2</v>
      </c>
      <c r="C337" s="32">
        <v>39.799999999999997</v>
      </c>
      <c r="D337" s="22">
        <v>33.4</v>
      </c>
      <c r="E337" s="7">
        <v>26</v>
      </c>
      <c r="F337" s="11">
        <f t="shared" si="50"/>
        <v>6.3999999999999986</v>
      </c>
      <c r="G337" s="23">
        <f t="shared" si="55"/>
        <v>7.3999999999999986</v>
      </c>
      <c r="H337" s="24">
        <f t="shared" ref="H337:H400" si="56">(F337/(F337+G337))*100</f>
        <v>46.376811594202898</v>
      </c>
      <c r="I337" s="25">
        <v>3204</v>
      </c>
      <c r="J337" s="26">
        <f t="shared" si="51"/>
        <v>6.3999999999999986</v>
      </c>
      <c r="K337" s="21">
        <f t="shared" si="52"/>
        <v>31.373567999999992</v>
      </c>
      <c r="L337" s="27">
        <v>1.75</v>
      </c>
      <c r="M337" s="28">
        <v>5</v>
      </c>
      <c r="N337" s="29">
        <f t="shared" si="53"/>
        <v>5.2747135999999983</v>
      </c>
      <c r="O337" s="30">
        <f t="shared" si="54"/>
        <v>38.39828159999999</v>
      </c>
    </row>
    <row r="338" spans="1:15" x14ac:dyDescent="0.3">
      <c r="A338" s="19"/>
      <c r="B338" s="20">
        <v>0.10416666666666667</v>
      </c>
      <c r="C338" s="21">
        <v>38.4</v>
      </c>
      <c r="D338" s="22">
        <v>32.700000000000003</v>
      </c>
      <c r="E338" s="7">
        <v>26</v>
      </c>
      <c r="F338" s="11">
        <f t="shared" si="50"/>
        <v>5.6999999999999957</v>
      </c>
      <c r="G338" s="23">
        <f t="shared" si="55"/>
        <v>6.7000000000000028</v>
      </c>
      <c r="H338" s="24">
        <f t="shared" si="56"/>
        <v>45.967741935483843</v>
      </c>
      <c r="I338" s="25">
        <v>3093</v>
      </c>
      <c r="J338" s="26">
        <f t="shared" si="51"/>
        <v>5.6999999999999957</v>
      </c>
      <c r="K338" s="21">
        <f t="shared" si="52"/>
        <v>26.97405299999998</v>
      </c>
      <c r="L338" s="27">
        <v>1.75</v>
      </c>
      <c r="M338" s="28">
        <v>5</v>
      </c>
      <c r="N338" s="29">
        <f t="shared" si="53"/>
        <v>4.394810599999996</v>
      </c>
      <c r="O338" s="30">
        <f t="shared" si="54"/>
        <v>33.118863599999976</v>
      </c>
    </row>
    <row r="339" spans="1:15" x14ac:dyDescent="0.3">
      <c r="A339" s="19"/>
      <c r="B339" s="20">
        <v>0.1875</v>
      </c>
      <c r="C339" s="21">
        <v>40.4</v>
      </c>
      <c r="D339" s="35">
        <v>33.6</v>
      </c>
      <c r="E339" s="7">
        <v>26</v>
      </c>
      <c r="F339" s="11">
        <f t="shared" si="50"/>
        <v>6.7999999999999972</v>
      </c>
      <c r="G339" s="23">
        <f t="shared" si="55"/>
        <v>7.6000000000000014</v>
      </c>
      <c r="H339" s="24">
        <f t="shared" si="56"/>
        <v>47.222222222222207</v>
      </c>
      <c r="I339" s="25">
        <v>3107</v>
      </c>
      <c r="J339" s="26">
        <f t="shared" si="51"/>
        <v>6.7999999999999972</v>
      </c>
      <c r="K339" s="21">
        <f t="shared" si="52"/>
        <v>32.325227999999989</v>
      </c>
      <c r="L339" s="27">
        <v>1.75</v>
      </c>
      <c r="M339" s="28">
        <v>5</v>
      </c>
      <c r="N339" s="29">
        <f t="shared" si="53"/>
        <v>5.4650455999999981</v>
      </c>
      <c r="O339" s="30">
        <f t="shared" si="54"/>
        <v>39.540273599999985</v>
      </c>
    </row>
    <row r="340" spans="1:15" s="3" customFormat="1" x14ac:dyDescent="0.3">
      <c r="A340" s="34"/>
      <c r="B340" s="34"/>
      <c r="C340" s="34"/>
      <c r="D340" s="34"/>
      <c r="E340" s="34"/>
      <c r="F340" s="34"/>
      <c r="G340" s="34" t="s">
        <v>8</v>
      </c>
      <c r="H340" s="34">
        <f>AVERAGE(H328:H339)</f>
        <v>45.859288904731315</v>
      </c>
      <c r="I340" s="34"/>
      <c r="J340" s="34"/>
      <c r="K340" s="34">
        <f>AVERAGE(K328:K339)</f>
        <v>27.196617</v>
      </c>
      <c r="L340" s="34"/>
      <c r="M340" s="34"/>
      <c r="N340" s="34">
        <f>AVERAGE(N328:N339)</f>
        <v>4.4393233999999993</v>
      </c>
      <c r="O340" s="34">
        <f>AVERAGE(O328:O339)</f>
        <v>33.385940399999996</v>
      </c>
    </row>
    <row r="341" spans="1:15" x14ac:dyDescent="0.3">
      <c r="A341" s="19">
        <v>44557</v>
      </c>
      <c r="B341" s="20">
        <v>0.27083333333333331</v>
      </c>
      <c r="C341" s="21">
        <v>40.6</v>
      </c>
      <c r="D341" s="22">
        <v>33.700000000000003</v>
      </c>
      <c r="E341" s="7">
        <v>26</v>
      </c>
      <c r="F341" s="11">
        <f t="shared" si="50"/>
        <v>6.8999999999999986</v>
      </c>
      <c r="G341" s="23">
        <f t="shared" si="55"/>
        <v>7.7000000000000028</v>
      </c>
      <c r="H341" s="24">
        <f t="shared" si="56"/>
        <v>47.260273972602725</v>
      </c>
      <c r="I341" s="25">
        <v>3091</v>
      </c>
      <c r="J341" s="26">
        <f t="shared" si="51"/>
        <v>6.8999999999999986</v>
      </c>
      <c r="K341" s="21">
        <f t="shared" si="52"/>
        <v>32.631686999999992</v>
      </c>
      <c r="L341" s="27">
        <v>1.75</v>
      </c>
      <c r="M341" s="28">
        <v>5</v>
      </c>
      <c r="N341" s="29">
        <f t="shared" si="53"/>
        <v>5.5263373999999983</v>
      </c>
      <c r="O341" s="30">
        <f t="shared" si="54"/>
        <v>39.908024399999988</v>
      </c>
    </row>
    <row r="342" spans="1:15" x14ac:dyDescent="0.3">
      <c r="A342" s="19"/>
      <c r="B342" s="20">
        <v>0.35416666666666669</v>
      </c>
      <c r="C342" s="21">
        <v>40</v>
      </c>
      <c r="D342" s="22">
        <v>33.6</v>
      </c>
      <c r="E342" s="7">
        <v>26</v>
      </c>
      <c r="F342" s="11">
        <f t="shared" si="50"/>
        <v>6.3999999999999986</v>
      </c>
      <c r="G342" s="23">
        <f t="shared" si="55"/>
        <v>7.6000000000000014</v>
      </c>
      <c r="H342" s="24">
        <f t="shared" si="56"/>
        <v>45.714285714285701</v>
      </c>
      <c r="I342" s="25">
        <v>3161</v>
      </c>
      <c r="J342" s="26">
        <f t="shared" si="51"/>
        <v>6.3999999999999986</v>
      </c>
      <c r="K342" s="21">
        <f t="shared" si="52"/>
        <v>30.952511999999988</v>
      </c>
      <c r="L342" s="27">
        <v>1.75</v>
      </c>
      <c r="M342" s="28">
        <v>5</v>
      </c>
      <c r="N342" s="29">
        <f t="shared" si="53"/>
        <v>5.190502399999998</v>
      </c>
      <c r="O342" s="30">
        <f t="shared" si="54"/>
        <v>37.893014399999984</v>
      </c>
    </row>
    <row r="343" spans="1:15" x14ac:dyDescent="0.3">
      <c r="A343" s="19"/>
      <c r="B343" s="20">
        <v>0.4375</v>
      </c>
      <c r="C343" s="21">
        <v>39.6</v>
      </c>
      <c r="D343" s="22">
        <v>33</v>
      </c>
      <c r="E343" s="7">
        <v>26</v>
      </c>
      <c r="F343" s="11">
        <f t="shared" si="50"/>
        <v>6.6000000000000014</v>
      </c>
      <c r="G343" s="23">
        <f t="shared" si="55"/>
        <v>7</v>
      </c>
      <c r="H343" s="24">
        <f t="shared" si="56"/>
        <v>48.529411764705884</v>
      </c>
      <c r="I343" s="25">
        <v>3201</v>
      </c>
      <c r="J343" s="26">
        <f t="shared" si="51"/>
        <v>6.6000000000000014</v>
      </c>
      <c r="K343" s="21">
        <f t="shared" si="52"/>
        <v>32.323698000000007</v>
      </c>
      <c r="L343" s="27">
        <v>1.75</v>
      </c>
      <c r="M343" s="28">
        <v>5</v>
      </c>
      <c r="N343" s="29">
        <f t="shared" si="53"/>
        <v>5.4647396000000015</v>
      </c>
      <c r="O343" s="30">
        <f t="shared" si="54"/>
        <v>39.538437600000009</v>
      </c>
    </row>
    <row r="344" spans="1:15" x14ac:dyDescent="0.3">
      <c r="A344" s="19"/>
      <c r="B344" s="20">
        <v>0.52083333333333337</v>
      </c>
      <c r="C344" s="21">
        <v>40.700000000000003</v>
      </c>
      <c r="D344" s="22">
        <v>33</v>
      </c>
      <c r="E344" s="7">
        <v>26</v>
      </c>
      <c r="F344" s="11">
        <f t="shared" si="50"/>
        <v>7.7000000000000028</v>
      </c>
      <c r="G344" s="23">
        <f t="shared" si="55"/>
        <v>7</v>
      </c>
      <c r="H344" s="24">
        <f t="shared" si="56"/>
        <v>52.380952380952394</v>
      </c>
      <c r="I344" s="25">
        <v>3131</v>
      </c>
      <c r="J344" s="26">
        <f t="shared" si="51"/>
        <v>7.7000000000000028</v>
      </c>
      <c r="K344" s="21">
        <f t="shared" si="52"/>
        <v>36.886311000000013</v>
      </c>
      <c r="L344" s="27">
        <v>1.75</v>
      </c>
      <c r="M344" s="28">
        <v>5</v>
      </c>
      <c r="N344" s="29">
        <f t="shared" si="53"/>
        <v>6.3772622000000023</v>
      </c>
      <c r="O344" s="30">
        <f t="shared" si="54"/>
        <v>45.013573200000017</v>
      </c>
    </row>
    <row r="345" spans="1:15" x14ac:dyDescent="0.3">
      <c r="A345" s="19"/>
      <c r="B345" s="20">
        <v>0.60416666666666663</v>
      </c>
      <c r="C345" s="21">
        <v>40.9</v>
      </c>
      <c r="D345" s="22">
        <v>34.299999999999997</v>
      </c>
      <c r="E345" s="7">
        <v>26</v>
      </c>
      <c r="F345" s="11">
        <f t="shared" si="50"/>
        <v>6.6000000000000014</v>
      </c>
      <c r="G345" s="23">
        <f t="shared" si="55"/>
        <v>8.2999999999999972</v>
      </c>
      <c r="H345" s="24">
        <f t="shared" si="56"/>
        <v>44.295302013422834</v>
      </c>
      <c r="I345" s="25">
        <v>3196</v>
      </c>
      <c r="J345" s="26">
        <f t="shared" si="51"/>
        <v>6.6000000000000014</v>
      </c>
      <c r="K345" s="21">
        <f t="shared" si="52"/>
        <v>32.273208000000004</v>
      </c>
      <c r="L345" s="27">
        <v>1.75</v>
      </c>
      <c r="M345" s="28">
        <v>5</v>
      </c>
      <c r="N345" s="29">
        <f t="shared" si="53"/>
        <v>5.4546416000000004</v>
      </c>
      <c r="O345" s="30">
        <f t="shared" si="54"/>
        <v>39.477849600000006</v>
      </c>
    </row>
    <row r="346" spans="1:15" x14ac:dyDescent="0.3">
      <c r="A346" s="19"/>
      <c r="B346" s="20">
        <v>0.6875</v>
      </c>
      <c r="C346" s="21">
        <v>41.2</v>
      </c>
      <c r="D346" s="22">
        <v>34.4</v>
      </c>
      <c r="E346" s="7">
        <v>26</v>
      </c>
      <c r="F346" s="11">
        <f t="shared" si="50"/>
        <v>6.8000000000000043</v>
      </c>
      <c r="G346" s="23">
        <f t="shared" si="55"/>
        <v>8.3999999999999986</v>
      </c>
      <c r="H346" s="24">
        <f t="shared" si="56"/>
        <v>44.736842105263172</v>
      </c>
      <c r="I346" s="25">
        <v>3221</v>
      </c>
      <c r="J346" s="26">
        <f t="shared" si="51"/>
        <v>6.8000000000000043</v>
      </c>
      <c r="K346" s="21">
        <f t="shared" si="52"/>
        <v>33.511284000000018</v>
      </c>
      <c r="L346" s="27">
        <v>1.75</v>
      </c>
      <c r="M346" s="28">
        <v>5</v>
      </c>
      <c r="N346" s="29">
        <f t="shared" si="53"/>
        <v>5.7022568000000033</v>
      </c>
      <c r="O346" s="30">
        <f t="shared" si="54"/>
        <v>40.963540800000018</v>
      </c>
    </row>
    <row r="347" spans="1:15" x14ac:dyDescent="0.3">
      <c r="A347" s="19"/>
      <c r="B347" s="20">
        <v>0.77083333333333337</v>
      </c>
      <c r="C347" s="21">
        <v>41.1</v>
      </c>
      <c r="D347" s="22">
        <v>34.4</v>
      </c>
      <c r="E347" s="7">
        <v>26</v>
      </c>
      <c r="F347" s="11">
        <f t="shared" si="50"/>
        <v>6.7000000000000028</v>
      </c>
      <c r="G347" s="23">
        <f t="shared" si="55"/>
        <v>8.3999999999999986</v>
      </c>
      <c r="H347" s="24">
        <f t="shared" si="56"/>
        <v>44.370860927152336</v>
      </c>
      <c r="I347" s="25">
        <v>3218</v>
      </c>
      <c r="J347" s="26">
        <f t="shared" si="51"/>
        <v>6.7000000000000028</v>
      </c>
      <c r="K347" s="21">
        <f t="shared" si="52"/>
        <v>32.987718000000015</v>
      </c>
      <c r="L347" s="27">
        <v>1.75</v>
      </c>
      <c r="M347" s="28">
        <v>5</v>
      </c>
      <c r="N347" s="29">
        <f t="shared" si="53"/>
        <v>5.5975436000000034</v>
      </c>
      <c r="O347" s="30">
        <f t="shared" si="54"/>
        <v>40.335261600000017</v>
      </c>
    </row>
    <row r="348" spans="1:15" x14ac:dyDescent="0.3">
      <c r="A348" s="19"/>
      <c r="B348" s="20">
        <v>0.85416666666666663</v>
      </c>
      <c r="C348" s="21">
        <v>41</v>
      </c>
      <c r="D348" s="22">
        <v>34.200000000000003</v>
      </c>
      <c r="E348" s="7">
        <v>26</v>
      </c>
      <c r="F348" s="11">
        <f t="shared" si="50"/>
        <v>6.7999999999999972</v>
      </c>
      <c r="G348" s="23">
        <f t="shared" si="55"/>
        <v>8.2000000000000028</v>
      </c>
      <c r="H348" s="24">
        <f t="shared" si="56"/>
        <v>45.333333333333314</v>
      </c>
      <c r="I348" s="25">
        <v>3154</v>
      </c>
      <c r="J348" s="26">
        <f t="shared" si="51"/>
        <v>6.7999999999999972</v>
      </c>
      <c r="K348" s="21">
        <f t="shared" si="52"/>
        <v>32.814215999999988</v>
      </c>
      <c r="L348" s="27">
        <v>1.75</v>
      </c>
      <c r="M348" s="28">
        <v>5</v>
      </c>
      <c r="N348" s="29">
        <f t="shared" si="53"/>
        <v>5.5628431999999979</v>
      </c>
      <c r="O348" s="30">
        <f t="shared" si="54"/>
        <v>40.127059199999984</v>
      </c>
    </row>
    <row r="349" spans="1:15" x14ac:dyDescent="0.3">
      <c r="A349" s="19"/>
      <c r="B349" s="20">
        <v>0.9375</v>
      </c>
      <c r="C349" s="32">
        <v>40.5</v>
      </c>
      <c r="D349" s="22">
        <v>34</v>
      </c>
      <c r="E349" s="7">
        <v>26</v>
      </c>
      <c r="F349" s="11">
        <f t="shared" si="50"/>
        <v>6.5</v>
      </c>
      <c r="G349" s="23">
        <f t="shared" si="55"/>
        <v>8</v>
      </c>
      <c r="H349" s="24">
        <f t="shared" si="56"/>
        <v>44.827586206896555</v>
      </c>
      <c r="I349" s="25">
        <v>3191</v>
      </c>
      <c r="J349" s="26">
        <f t="shared" si="51"/>
        <v>6.5</v>
      </c>
      <c r="K349" s="21">
        <f t="shared" si="52"/>
        <v>31.734494999999999</v>
      </c>
      <c r="L349" s="27">
        <v>1.75</v>
      </c>
      <c r="M349" s="28">
        <v>5</v>
      </c>
      <c r="N349" s="29">
        <f t="shared" si="53"/>
        <v>5.3468989999999996</v>
      </c>
      <c r="O349" s="30">
        <f t="shared" si="54"/>
        <v>38.831393999999996</v>
      </c>
    </row>
    <row r="350" spans="1:15" x14ac:dyDescent="0.3">
      <c r="A350" s="19"/>
      <c r="B350" s="20">
        <v>2.0833333333333332E-2</v>
      </c>
      <c r="C350" s="21">
        <v>40.5</v>
      </c>
      <c r="D350" s="22">
        <v>33.799999999999997</v>
      </c>
      <c r="E350" s="7">
        <v>26</v>
      </c>
      <c r="F350" s="11">
        <f t="shared" si="50"/>
        <v>6.7000000000000028</v>
      </c>
      <c r="G350" s="23">
        <f t="shared" si="55"/>
        <v>7.7999999999999972</v>
      </c>
      <c r="H350" s="24">
        <f t="shared" si="56"/>
        <v>46.206896551724157</v>
      </c>
      <c r="I350" s="25">
        <v>3178</v>
      </c>
      <c r="J350" s="26">
        <f t="shared" si="51"/>
        <v>6.7000000000000028</v>
      </c>
      <c r="K350" s="21">
        <f t="shared" si="52"/>
        <v>32.577678000000013</v>
      </c>
      <c r="L350" s="27">
        <v>1.75</v>
      </c>
      <c r="M350" s="28">
        <v>5</v>
      </c>
      <c r="N350" s="29">
        <f t="shared" si="53"/>
        <v>5.5155356000000024</v>
      </c>
      <c r="O350" s="30">
        <f t="shared" si="54"/>
        <v>39.843213600000013</v>
      </c>
    </row>
    <row r="351" spans="1:15" x14ac:dyDescent="0.3">
      <c r="A351" s="19"/>
      <c r="B351" s="20">
        <v>0.10416666666666667</v>
      </c>
      <c r="C351" s="21">
        <v>40</v>
      </c>
      <c r="D351" s="22">
        <v>33.299999999999997</v>
      </c>
      <c r="E351" s="7">
        <v>26</v>
      </c>
      <c r="F351" s="11">
        <f t="shared" si="50"/>
        <v>6.7000000000000028</v>
      </c>
      <c r="G351" s="23">
        <f t="shared" si="55"/>
        <v>7.2999999999999972</v>
      </c>
      <c r="H351" s="24">
        <f t="shared" si="56"/>
        <v>47.857142857142875</v>
      </c>
      <c r="I351" s="25">
        <v>3134</v>
      </c>
      <c r="J351" s="26">
        <f t="shared" si="51"/>
        <v>6.7000000000000028</v>
      </c>
      <c r="K351" s="21">
        <f t="shared" si="52"/>
        <v>32.126634000000017</v>
      </c>
      <c r="L351" s="27">
        <v>1.75</v>
      </c>
      <c r="M351" s="28">
        <v>5</v>
      </c>
      <c r="N351" s="29">
        <f t="shared" si="53"/>
        <v>5.4253268000000032</v>
      </c>
      <c r="O351" s="30">
        <f t="shared" si="54"/>
        <v>39.301960800000018</v>
      </c>
    </row>
    <row r="352" spans="1:15" x14ac:dyDescent="0.3">
      <c r="A352" s="19"/>
      <c r="B352" s="20">
        <v>0.1875</v>
      </c>
      <c r="C352" s="21">
        <v>39.299999999999997</v>
      </c>
      <c r="D352" s="35">
        <v>33</v>
      </c>
      <c r="E352" s="7">
        <v>26</v>
      </c>
      <c r="F352" s="11">
        <f t="shared" si="50"/>
        <v>6.2999999999999972</v>
      </c>
      <c r="G352" s="23">
        <f>D352-E352</f>
        <v>7</v>
      </c>
      <c r="H352" s="24">
        <f t="shared" si="56"/>
        <v>47.368421052631568</v>
      </c>
      <c r="I352" s="25">
        <v>3199</v>
      </c>
      <c r="J352" s="26">
        <f t="shared" si="51"/>
        <v>6.2999999999999972</v>
      </c>
      <c r="K352" s="21">
        <f t="shared" si="52"/>
        <v>30.835160999999985</v>
      </c>
      <c r="L352" s="27">
        <v>1.75</v>
      </c>
      <c r="M352" s="28">
        <v>5</v>
      </c>
      <c r="N352" s="29">
        <f t="shared" si="53"/>
        <v>5.1670321999999969</v>
      </c>
      <c r="O352" s="30">
        <f t="shared" si="54"/>
        <v>37.752193199999979</v>
      </c>
    </row>
    <row r="353" spans="1:15" s="3" customFormat="1" x14ac:dyDescent="0.3">
      <c r="A353" s="34"/>
      <c r="B353" s="34"/>
      <c r="C353" s="34"/>
      <c r="D353" s="34"/>
      <c r="E353" s="34"/>
      <c r="F353" s="34"/>
      <c r="G353" s="34" t="s">
        <v>8</v>
      </c>
      <c r="H353" s="34">
        <f>AVERAGE(H341:H352)</f>
        <v>46.573442406676129</v>
      </c>
      <c r="I353" s="34"/>
      <c r="J353" s="34"/>
      <c r="K353" s="34">
        <f>AVERAGE(K341:K352)</f>
        <v>32.637883500000001</v>
      </c>
      <c r="L353" s="34"/>
      <c r="M353" s="34"/>
      <c r="N353" s="34">
        <f>AVERAGE(N341:N352)</f>
        <v>5.5275767</v>
      </c>
      <c r="O353" s="34">
        <f>AVERAGE(O341:O352)</f>
        <v>39.915460199999998</v>
      </c>
    </row>
    <row r="354" spans="1:15" x14ac:dyDescent="0.3">
      <c r="A354" s="19">
        <v>44558</v>
      </c>
      <c r="B354" s="20">
        <v>0.27083333333333331</v>
      </c>
      <c r="C354" s="21">
        <v>39.4</v>
      </c>
      <c r="D354" s="22">
        <v>32.9</v>
      </c>
      <c r="E354" s="7">
        <v>26</v>
      </c>
      <c r="F354" s="11">
        <f t="shared" si="50"/>
        <v>6.5</v>
      </c>
      <c r="G354" s="23">
        <f t="shared" ref="G354:G390" si="57">D354-E354</f>
        <v>6.8999999999999986</v>
      </c>
      <c r="H354" s="24">
        <f t="shared" si="56"/>
        <v>48.507462686567173</v>
      </c>
      <c r="I354" s="25">
        <v>3130</v>
      </c>
      <c r="J354" s="26">
        <f t="shared" si="51"/>
        <v>6.5</v>
      </c>
      <c r="K354" s="21">
        <f t="shared" si="52"/>
        <v>31.127849999999999</v>
      </c>
      <c r="L354" s="27">
        <v>1.75</v>
      </c>
      <c r="M354" s="28">
        <v>5</v>
      </c>
      <c r="N354" s="29">
        <f t="shared" si="53"/>
        <v>5.2255699999999994</v>
      </c>
      <c r="O354" s="30">
        <f t="shared" si="54"/>
        <v>38.103419999999993</v>
      </c>
    </row>
    <row r="355" spans="1:15" x14ac:dyDescent="0.3">
      <c r="A355" s="19"/>
      <c r="B355" s="20">
        <v>0.35416666666666669</v>
      </c>
      <c r="C355" s="21">
        <v>39.200000000000003</v>
      </c>
      <c r="D355" s="22">
        <v>32.6</v>
      </c>
      <c r="E355" s="7">
        <v>26</v>
      </c>
      <c r="F355" s="11">
        <f t="shared" si="50"/>
        <v>6.6000000000000014</v>
      </c>
      <c r="G355" s="23">
        <f t="shared" si="57"/>
        <v>6.6000000000000014</v>
      </c>
      <c r="H355" s="24">
        <f t="shared" si="56"/>
        <v>50</v>
      </c>
      <c r="I355" s="25">
        <v>3079</v>
      </c>
      <c r="J355" s="26">
        <f t="shared" si="51"/>
        <v>6.6000000000000014</v>
      </c>
      <c r="K355" s="21">
        <f t="shared" si="52"/>
        <v>31.091742000000007</v>
      </c>
      <c r="L355" s="27">
        <v>1.75</v>
      </c>
      <c r="M355" s="28">
        <v>5</v>
      </c>
      <c r="N355" s="29">
        <f t="shared" si="53"/>
        <v>5.2183484000000018</v>
      </c>
      <c r="O355" s="30">
        <f t="shared" si="54"/>
        <v>38.060090400000014</v>
      </c>
    </row>
    <row r="356" spans="1:15" x14ac:dyDescent="0.3">
      <c r="A356" s="19"/>
      <c r="B356" s="20">
        <v>0.4375</v>
      </c>
      <c r="C356" s="21">
        <v>39.799999999999997</v>
      </c>
      <c r="D356" s="22">
        <v>33.1</v>
      </c>
      <c r="E356" s="7">
        <v>26</v>
      </c>
      <c r="F356" s="11">
        <f t="shared" si="50"/>
        <v>6.6999999999999957</v>
      </c>
      <c r="G356" s="23">
        <f t="shared" si="57"/>
        <v>7.1000000000000014</v>
      </c>
      <c r="H356" s="24">
        <f t="shared" si="56"/>
        <v>48.550724637681135</v>
      </c>
      <c r="I356" s="25">
        <v>3128</v>
      </c>
      <c r="J356" s="26">
        <f t="shared" si="51"/>
        <v>6.6999999999999957</v>
      </c>
      <c r="K356" s="21">
        <f t="shared" si="52"/>
        <v>32.065127999999973</v>
      </c>
      <c r="L356" s="27">
        <v>1.75</v>
      </c>
      <c r="M356" s="28">
        <v>5</v>
      </c>
      <c r="N356" s="29">
        <f t="shared" si="53"/>
        <v>5.4130255999999948</v>
      </c>
      <c r="O356" s="30">
        <f t="shared" si="54"/>
        <v>39.22815359999997</v>
      </c>
    </row>
    <row r="357" spans="1:15" x14ac:dyDescent="0.3">
      <c r="A357" s="19"/>
      <c r="B357" s="20">
        <v>0.52083333333333337</v>
      </c>
      <c r="C357" s="21">
        <v>40.299999999999997</v>
      </c>
      <c r="D357" s="22">
        <v>33.700000000000003</v>
      </c>
      <c r="E357" s="7">
        <v>26</v>
      </c>
      <c r="F357" s="11">
        <f t="shared" si="50"/>
        <v>6.5999999999999943</v>
      </c>
      <c r="G357" s="23">
        <f t="shared" si="57"/>
        <v>7.7000000000000028</v>
      </c>
      <c r="H357" s="24">
        <f t="shared" si="56"/>
        <v>46.153846153846125</v>
      </c>
      <c r="I357" s="25">
        <v>3153</v>
      </c>
      <c r="J357" s="26">
        <f t="shared" si="51"/>
        <v>6.5999999999999943</v>
      </c>
      <c r="K357" s="21">
        <f t="shared" si="52"/>
        <v>31.838993999999971</v>
      </c>
      <c r="L357" s="27">
        <v>1.75</v>
      </c>
      <c r="M357" s="28">
        <v>5</v>
      </c>
      <c r="N357" s="29">
        <f t="shared" si="53"/>
        <v>5.3677987999999939</v>
      </c>
      <c r="O357" s="30">
        <f t="shared" si="54"/>
        <v>38.956792799999967</v>
      </c>
    </row>
    <row r="358" spans="1:15" x14ac:dyDescent="0.3">
      <c r="A358" s="19"/>
      <c r="B358" s="20">
        <v>0.60416666666666663</v>
      </c>
      <c r="C358" s="21">
        <v>40.6</v>
      </c>
      <c r="D358" s="22">
        <v>33.9</v>
      </c>
      <c r="E358" s="7">
        <v>26</v>
      </c>
      <c r="F358" s="11">
        <f t="shared" si="50"/>
        <v>6.7000000000000028</v>
      </c>
      <c r="G358" s="23">
        <f t="shared" si="57"/>
        <v>7.8999999999999986</v>
      </c>
      <c r="H358" s="24">
        <f t="shared" si="56"/>
        <v>45.890410958904127</v>
      </c>
      <c r="I358" s="25">
        <v>3198</v>
      </c>
      <c r="J358" s="26">
        <f t="shared" si="51"/>
        <v>6.7000000000000028</v>
      </c>
      <c r="K358" s="21">
        <f t="shared" si="52"/>
        <v>32.782698000000011</v>
      </c>
      <c r="L358" s="27">
        <v>1.75</v>
      </c>
      <c r="M358" s="28">
        <v>5</v>
      </c>
      <c r="N358" s="29">
        <f t="shared" si="53"/>
        <v>5.5565396000000025</v>
      </c>
      <c r="O358" s="30">
        <f t="shared" si="54"/>
        <v>40.089237600000011</v>
      </c>
    </row>
    <row r="359" spans="1:15" x14ac:dyDescent="0.3">
      <c r="A359" s="19"/>
      <c r="B359" s="20">
        <v>0.6875</v>
      </c>
      <c r="C359" s="21">
        <v>40.5</v>
      </c>
      <c r="D359" s="22">
        <v>33.799999999999997</v>
      </c>
      <c r="E359" s="7">
        <v>26</v>
      </c>
      <c r="F359" s="11">
        <f t="shared" si="50"/>
        <v>6.7000000000000028</v>
      </c>
      <c r="G359" s="23">
        <f t="shared" si="57"/>
        <v>7.7999999999999972</v>
      </c>
      <c r="H359" s="24">
        <f t="shared" si="56"/>
        <v>46.206896551724157</v>
      </c>
      <c r="I359" s="25">
        <v>3206</v>
      </c>
      <c r="J359" s="26">
        <f t="shared" si="51"/>
        <v>6.7000000000000028</v>
      </c>
      <c r="K359" s="21">
        <f t="shared" si="52"/>
        <v>32.864706000000012</v>
      </c>
      <c r="L359" s="27">
        <v>1.75</v>
      </c>
      <c r="M359" s="28">
        <v>5</v>
      </c>
      <c r="N359" s="29">
        <f t="shared" si="53"/>
        <v>5.5729412000000025</v>
      </c>
      <c r="O359" s="30">
        <f t="shared" si="54"/>
        <v>40.187647200000015</v>
      </c>
    </row>
    <row r="360" spans="1:15" x14ac:dyDescent="0.3">
      <c r="A360" s="19"/>
      <c r="B360" s="20">
        <v>0.77083333333333337</v>
      </c>
      <c r="C360" s="21">
        <v>40.200000000000003</v>
      </c>
      <c r="D360" s="22">
        <v>33.6</v>
      </c>
      <c r="E360" s="7">
        <v>26</v>
      </c>
      <c r="F360" s="11">
        <f t="shared" si="50"/>
        <v>6.6000000000000014</v>
      </c>
      <c r="G360" s="23">
        <f t="shared" si="57"/>
        <v>7.6000000000000014</v>
      </c>
      <c r="H360" s="24">
        <f t="shared" si="56"/>
        <v>46.478873239436616</v>
      </c>
      <c r="I360" s="25">
        <v>3174</v>
      </c>
      <c r="J360" s="26">
        <f t="shared" si="51"/>
        <v>6.6000000000000014</v>
      </c>
      <c r="K360" s="21">
        <f t="shared" si="52"/>
        <v>32.051052000000006</v>
      </c>
      <c r="L360" s="27">
        <v>1.75</v>
      </c>
      <c r="M360" s="28">
        <v>5</v>
      </c>
      <c r="N360" s="29">
        <f t="shared" si="53"/>
        <v>5.4102104000000013</v>
      </c>
      <c r="O360" s="30">
        <f t="shared" si="54"/>
        <v>39.21126240000001</v>
      </c>
    </row>
    <row r="361" spans="1:15" x14ac:dyDescent="0.3">
      <c r="A361" s="19"/>
      <c r="B361" s="20">
        <v>0.85416666666666663</v>
      </c>
      <c r="C361" s="32">
        <v>40.5</v>
      </c>
      <c r="D361" s="22">
        <v>33.9</v>
      </c>
      <c r="E361" s="7">
        <v>26</v>
      </c>
      <c r="F361" s="11">
        <f t="shared" si="50"/>
        <v>6.6000000000000014</v>
      </c>
      <c r="G361" s="23">
        <f t="shared" si="57"/>
        <v>7.8999999999999986</v>
      </c>
      <c r="H361" s="24">
        <f t="shared" si="56"/>
        <v>45.517241379310356</v>
      </c>
      <c r="I361" s="25">
        <v>3156</v>
      </c>
      <c r="J361" s="26">
        <f t="shared" si="51"/>
        <v>6.6000000000000014</v>
      </c>
      <c r="K361" s="21">
        <f t="shared" si="52"/>
        <v>31.869288000000005</v>
      </c>
      <c r="L361" s="27">
        <v>1.75</v>
      </c>
      <c r="M361" s="28">
        <v>5</v>
      </c>
      <c r="N361" s="29">
        <f t="shared" si="53"/>
        <v>5.3738576000000009</v>
      </c>
      <c r="O361" s="30">
        <f t="shared" si="54"/>
        <v>38.993145600000005</v>
      </c>
    </row>
    <row r="362" spans="1:15" x14ac:dyDescent="0.3">
      <c r="A362" s="19"/>
      <c r="B362" s="20">
        <v>0.9375</v>
      </c>
      <c r="C362" s="21">
        <v>41.1</v>
      </c>
      <c r="D362" s="22">
        <v>34.1</v>
      </c>
      <c r="E362" s="7">
        <v>26</v>
      </c>
      <c r="F362" s="11">
        <f t="shared" si="50"/>
        <v>7</v>
      </c>
      <c r="G362" s="23">
        <f t="shared" si="57"/>
        <v>8.1000000000000014</v>
      </c>
      <c r="H362" s="24">
        <f t="shared" si="56"/>
        <v>46.357615894039732</v>
      </c>
      <c r="I362" s="25">
        <v>3205</v>
      </c>
      <c r="J362" s="26">
        <f t="shared" si="51"/>
        <v>7</v>
      </c>
      <c r="K362" s="21">
        <f t="shared" si="52"/>
        <v>34.32555</v>
      </c>
      <c r="L362" s="27">
        <v>1.75</v>
      </c>
      <c r="M362" s="28">
        <v>5</v>
      </c>
      <c r="N362" s="29">
        <f t="shared" si="53"/>
        <v>5.8651099999999996</v>
      </c>
      <c r="O362" s="30">
        <f t="shared" si="54"/>
        <v>41.940660000000001</v>
      </c>
    </row>
    <row r="363" spans="1:15" x14ac:dyDescent="0.3">
      <c r="A363" s="19"/>
      <c r="B363" s="20">
        <v>2.0833333333333332E-2</v>
      </c>
      <c r="C363" s="21">
        <v>41.3</v>
      </c>
      <c r="D363" s="22">
        <v>34.299999999999997</v>
      </c>
      <c r="E363" s="7">
        <v>26</v>
      </c>
      <c r="F363" s="11">
        <f t="shared" si="50"/>
        <v>7</v>
      </c>
      <c r="G363" s="23">
        <f t="shared" si="57"/>
        <v>8.2999999999999972</v>
      </c>
      <c r="H363" s="24">
        <f t="shared" si="56"/>
        <v>45.751633986928113</v>
      </c>
      <c r="I363" s="25">
        <v>3140</v>
      </c>
      <c r="J363" s="26">
        <f t="shared" si="51"/>
        <v>7</v>
      </c>
      <c r="K363" s="21">
        <f t="shared" si="52"/>
        <v>33.629399999999997</v>
      </c>
      <c r="L363" s="27">
        <v>1.75</v>
      </c>
      <c r="M363" s="28">
        <v>5</v>
      </c>
      <c r="N363" s="29">
        <f t="shared" si="53"/>
        <v>5.7258799999999992</v>
      </c>
      <c r="O363" s="30">
        <f t="shared" si="54"/>
        <v>41.105279999999993</v>
      </c>
    </row>
    <row r="364" spans="1:15" x14ac:dyDescent="0.3">
      <c r="A364" s="19"/>
      <c r="B364" s="20">
        <v>0.10416666666666667</v>
      </c>
      <c r="C364" s="21">
        <v>41</v>
      </c>
      <c r="D364" s="22">
        <v>34</v>
      </c>
      <c r="E364" s="7">
        <v>26</v>
      </c>
      <c r="F364" s="11">
        <f t="shared" si="50"/>
        <v>7</v>
      </c>
      <c r="G364" s="23">
        <f t="shared" si="57"/>
        <v>8</v>
      </c>
      <c r="H364" s="24">
        <f t="shared" si="56"/>
        <v>46.666666666666664</v>
      </c>
      <c r="I364" s="25">
        <v>3151</v>
      </c>
      <c r="J364" s="26">
        <f t="shared" si="51"/>
        <v>7</v>
      </c>
      <c r="K364" s="21">
        <f t="shared" si="52"/>
        <v>33.747209999999995</v>
      </c>
      <c r="L364" s="27">
        <v>1.75</v>
      </c>
      <c r="M364" s="28">
        <v>5</v>
      </c>
      <c r="N364" s="29">
        <f t="shared" si="53"/>
        <v>5.7494419999999993</v>
      </c>
      <c r="O364" s="30">
        <f t="shared" si="54"/>
        <v>41.246651999999997</v>
      </c>
    </row>
    <row r="365" spans="1:15" x14ac:dyDescent="0.3">
      <c r="A365" s="19"/>
      <c r="B365" s="20">
        <v>0.1875</v>
      </c>
      <c r="C365" s="21">
        <v>40.5</v>
      </c>
      <c r="D365" s="35">
        <v>33.9</v>
      </c>
      <c r="E365" s="7">
        <v>26</v>
      </c>
      <c r="F365" s="11">
        <f t="shared" si="50"/>
        <v>6.6000000000000014</v>
      </c>
      <c r="G365" s="23">
        <f t="shared" si="57"/>
        <v>7.8999999999999986</v>
      </c>
      <c r="H365" s="24">
        <f t="shared" si="56"/>
        <v>45.517241379310356</v>
      </c>
      <c r="I365" s="25">
        <v>3169</v>
      </c>
      <c r="J365" s="26">
        <f t="shared" si="51"/>
        <v>6.6000000000000014</v>
      </c>
      <c r="K365" s="21">
        <f t="shared" si="52"/>
        <v>32.000562000000002</v>
      </c>
      <c r="L365" s="27">
        <v>1.75</v>
      </c>
      <c r="M365" s="28">
        <v>5</v>
      </c>
      <c r="N365" s="29">
        <f t="shared" si="53"/>
        <v>5.4001124000000003</v>
      </c>
      <c r="O365" s="30">
        <f t="shared" si="54"/>
        <v>39.1506744</v>
      </c>
    </row>
    <row r="366" spans="1:15" s="3" customFormat="1" x14ac:dyDescent="0.3">
      <c r="A366" s="34"/>
      <c r="B366" s="34"/>
      <c r="C366" s="34"/>
      <c r="D366" s="34"/>
      <c r="E366" s="34"/>
      <c r="F366" s="34"/>
      <c r="G366" s="34" t="s">
        <v>8</v>
      </c>
      <c r="H366" s="34">
        <f>AVERAGE(H354:H365)</f>
        <v>46.799884461201209</v>
      </c>
      <c r="I366" s="34"/>
      <c r="J366" s="34"/>
      <c r="K366" s="34">
        <f>AVERAGE(K354:K365)</f>
        <v>32.449514999999998</v>
      </c>
      <c r="L366" s="34"/>
      <c r="M366" s="34"/>
      <c r="N366" s="34">
        <f>AVERAGE(N354:N365)</f>
        <v>5.4899029999999991</v>
      </c>
      <c r="O366" s="34">
        <f>AVERAGE(O354:O365)</f>
        <v>39.689417999999996</v>
      </c>
    </row>
    <row r="367" spans="1:15" x14ac:dyDescent="0.3">
      <c r="A367" s="19">
        <v>44559</v>
      </c>
      <c r="B367" s="20">
        <v>0.27083333333333331</v>
      </c>
      <c r="C367" s="21">
        <v>40.9</v>
      </c>
      <c r="D367" s="22">
        <v>33.799999999999997</v>
      </c>
      <c r="E367" s="7">
        <v>26</v>
      </c>
      <c r="F367" s="11">
        <f t="shared" si="50"/>
        <v>7.1000000000000014</v>
      </c>
      <c r="G367" s="23">
        <f t="shared" si="57"/>
        <v>7.7999999999999972</v>
      </c>
      <c r="H367" s="24">
        <f t="shared" si="56"/>
        <v>47.651006711409408</v>
      </c>
      <c r="I367" s="25">
        <v>3075</v>
      </c>
      <c r="J367" s="26">
        <f t="shared" si="51"/>
        <v>7.1000000000000014</v>
      </c>
      <c r="K367" s="21">
        <f t="shared" si="52"/>
        <v>33.403725000000009</v>
      </c>
      <c r="L367" s="27">
        <v>1.75</v>
      </c>
      <c r="M367" s="28">
        <v>5</v>
      </c>
      <c r="N367" s="29">
        <f t="shared" si="53"/>
        <v>5.6807450000000017</v>
      </c>
      <c r="O367" s="30">
        <f t="shared" si="54"/>
        <v>40.83447000000001</v>
      </c>
    </row>
    <row r="368" spans="1:15" x14ac:dyDescent="0.3">
      <c r="A368" s="19"/>
      <c r="B368" s="20">
        <v>0.35416666666666669</v>
      </c>
      <c r="C368" s="21">
        <v>40.799999999999997</v>
      </c>
      <c r="D368" s="22">
        <v>33.700000000000003</v>
      </c>
      <c r="E368" s="7">
        <v>26</v>
      </c>
      <c r="F368" s="11">
        <f t="shared" si="50"/>
        <v>7.0999999999999943</v>
      </c>
      <c r="G368" s="23">
        <f t="shared" si="57"/>
        <v>7.7000000000000028</v>
      </c>
      <c r="H368" s="24">
        <f t="shared" si="56"/>
        <v>47.972972972972947</v>
      </c>
      <c r="I368" s="25">
        <v>3192</v>
      </c>
      <c r="J368" s="26">
        <f t="shared" si="51"/>
        <v>7.0999999999999943</v>
      </c>
      <c r="K368" s="21">
        <f t="shared" si="52"/>
        <v>34.674695999999969</v>
      </c>
      <c r="L368" s="27">
        <v>1.75</v>
      </c>
      <c r="M368" s="28">
        <v>5</v>
      </c>
      <c r="N368" s="29">
        <f t="shared" si="53"/>
        <v>5.9349391999999934</v>
      </c>
      <c r="O368" s="30">
        <f t="shared" si="54"/>
        <v>42.359635199999964</v>
      </c>
    </row>
    <row r="369" spans="1:15" x14ac:dyDescent="0.3">
      <c r="A369" s="19"/>
      <c r="B369" s="20">
        <v>0.4375</v>
      </c>
      <c r="C369" s="21">
        <v>41.5</v>
      </c>
      <c r="D369" s="22">
        <v>34.4</v>
      </c>
      <c r="E369" s="7">
        <v>26</v>
      </c>
      <c r="F369" s="11">
        <f t="shared" si="50"/>
        <v>7.1000000000000014</v>
      </c>
      <c r="G369" s="23">
        <f t="shared" si="57"/>
        <v>8.3999999999999986</v>
      </c>
      <c r="H369" s="24">
        <f t="shared" si="56"/>
        <v>45.806451612903238</v>
      </c>
      <c r="I369" s="25">
        <v>3161</v>
      </c>
      <c r="J369" s="26">
        <f t="shared" si="51"/>
        <v>7.1000000000000014</v>
      </c>
      <c r="K369" s="21">
        <f t="shared" si="52"/>
        <v>34.337943000000003</v>
      </c>
      <c r="L369" s="27">
        <v>1.75</v>
      </c>
      <c r="M369" s="28">
        <v>5</v>
      </c>
      <c r="N369" s="29">
        <f t="shared" si="53"/>
        <v>5.8675886000000004</v>
      </c>
      <c r="O369" s="30">
        <f t="shared" si="54"/>
        <v>41.9555316</v>
      </c>
    </row>
    <row r="370" spans="1:15" x14ac:dyDescent="0.3">
      <c r="A370" s="19"/>
      <c r="B370" s="20">
        <v>0.52083333333333337</v>
      </c>
      <c r="C370" s="21">
        <v>41.7</v>
      </c>
      <c r="D370" s="22">
        <v>34.9</v>
      </c>
      <c r="E370" s="7">
        <v>26</v>
      </c>
      <c r="F370" s="11">
        <f t="shared" si="50"/>
        <v>6.8000000000000043</v>
      </c>
      <c r="G370" s="23">
        <f t="shared" si="57"/>
        <v>8.8999999999999986</v>
      </c>
      <c r="H370" s="24">
        <f t="shared" si="56"/>
        <v>43.312101910828041</v>
      </c>
      <c r="I370" s="25">
        <v>3169</v>
      </c>
      <c r="J370" s="26">
        <f t="shared" si="51"/>
        <v>6.8000000000000043</v>
      </c>
      <c r="K370" s="21">
        <f t="shared" si="52"/>
        <v>32.97027600000002</v>
      </c>
      <c r="L370" s="27">
        <v>1.75</v>
      </c>
      <c r="M370" s="28">
        <v>5</v>
      </c>
      <c r="N370" s="29">
        <f t="shared" si="53"/>
        <v>5.5940552000000041</v>
      </c>
      <c r="O370" s="30">
        <f t="shared" si="54"/>
        <v>40.314331200000026</v>
      </c>
    </row>
    <row r="371" spans="1:15" x14ac:dyDescent="0.3">
      <c r="A371" s="19"/>
      <c r="B371" s="20">
        <v>0.60416666666666663</v>
      </c>
      <c r="C371" s="21">
        <v>42</v>
      </c>
      <c r="D371" s="22">
        <v>35</v>
      </c>
      <c r="E371" s="7">
        <v>26</v>
      </c>
      <c r="F371" s="11">
        <f t="shared" si="50"/>
        <v>7</v>
      </c>
      <c r="G371" s="23">
        <f t="shared" si="57"/>
        <v>9</v>
      </c>
      <c r="H371" s="24">
        <f t="shared" si="56"/>
        <v>43.75</v>
      </c>
      <c r="I371" s="25">
        <v>3081</v>
      </c>
      <c r="J371" s="26">
        <f t="shared" si="51"/>
        <v>7</v>
      </c>
      <c r="K371" s="21">
        <f t="shared" si="52"/>
        <v>32.997509999999998</v>
      </c>
      <c r="L371" s="27">
        <v>1.75</v>
      </c>
      <c r="M371" s="28">
        <v>5</v>
      </c>
      <c r="N371" s="29">
        <f t="shared" si="53"/>
        <v>5.5995019999999993</v>
      </c>
      <c r="O371" s="30">
        <f t="shared" si="54"/>
        <v>40.347011999999999</v>
      </c>
    </row>
    <row r="372" spans="1:15" x14ac:dyDescent="0.3">
      <c r="A372" s="19"/>
      <c r="B372" s="20">
        <v>0.6875</v>
      </c>
      <c r="C372" s="21">
        <v>41.7</v>
      </c>
      <c r="D372" s="22">
        <v>34</v>
      </c>
      <c r="E372" s="7">
        <v>26</v>
      </c>
      <c r="F372" s="11">
        <f t="shared" si="50"/>
        <v>7.7000000000000028</v>
      </c>
      <c r="G372" s="23">
        <f t="shared" si="57"/>
        <v>8</v>
      </c>
      <c r="H372" s="24">
        <f t="shared" si="56"/>
        <v>49.044585987261158</v>
      </c>
      <c r="I372" s="25">
        <v>3141</v>
      </c>
      <c r="J372" s="26">
        <f t="shared" si="51"/>
        <v>7.7000000000000028</v>
      </c>
      <c r="K372" s="21">
        <f t="shared" si="52"/>
        <v>37.004121000000012</v>
      </c>
      <c r="L372" s="27">
        <v>1.75</v>
      </c>
      <c r="M372" s="28">
        <v>5</v>
      </c>
      <c r="N372" s="29">
        <f t="shared" si="53"/>
        <v>6.4008242000000024</v>
      </c>
      <c r="O372" s="30">
        <f t="shared" si="54"/>
        <v>45.154945200000014</v>
      </c>
    </row>
    <row r="373" spans="1:15" x14ac:dyDescent="0.3">
      <c r="A373" s="19"/>
      <c r="B373" s="20">
        <v>0.77083333333333337</v>
      </c>
      <c r="C373" s="21">
        <v>41.7</v>
      </c>
      <c r="D373" s="22">
        <v>34.6</v>
      </c>
      <c r="E373" s="7">
        <v>26</v>
      </c>
      <c r="F373" s="11">
        <f t="shared" si="50"/>
        <v>7.1000000000000014</v>
      </c>
      <c r="G373" s="23">
        <f t="shared" si="57"/>
        <v>8.6000000000000014</v>
      </c>
      <c r="H373" s="24">
        <f t="shared" si="56"/>
        <v>45.222929936305732</v>
      </c>
      <c r="I373" s="25">
        <v>3161</v>
      </c>
      <c r="J373" s="26">
        <f t="shared" si="51"/>
        <v>7.1000000000000014</v>
      </c>
      <c r="K373" s="21">
        <f t="shared" si="52"/>
        <v>34.337943000000003</v>
      </c>
      <c r="L373" s="27">
        <v>1.75</v>
      </c>
      <c r="M373" s="28">
        <v>5</v>
      </c>
      <c r="N373" s="29">
        <f t="shared" si="53"/>
        <v>5.8675886000000004</v>
      </c>
      <c r="O373" s="30">
        <f t="shared" si="54"/>
        <v>41.9555316</v>
      </c>
    </row>
    <row r="374" spans="1:15" x14ac:dyDescent="0.3">
      <c r="A374" s="19"/>
      <c r="B374" s="20">
        <v>0.85416666666666663</v>
      </c>
      <c r="C374" s="32">
        <v>40.9</v>
      </c>
      <c r="D374" s="22">
        <v>34.6</v>
      </c>
      <c r="E374" s="7">
        <v>26</v>
      </c>
      <c r="F374" s="11">
        <f t="shared" si="50"/>
        <v>6.2999999999999972</v>
      </c>
      <c r="G374" s="23">
        <f t="shared" si="57"/>
        <v>8.6000000000000014</v>
      </c>
      <c r="H374" s="24">
        <f t="shared" si="56"/>
        <v>42.281879194630854</v>
      </c>
      <c r="I374" s="25">
        <v>3216</v>
      </c>
      <c r="J374" s="26">
        <f t="shared" si="51"/>
        <v>6.2999999999999972</v>
      </c>
      <c r="K374" s="21">
        <f t="shared" si="52"/>
        <v>30.999023999999984</v>
      </c>
      <c r="L374" s="27">
        <v>1.75</v>
      </c>
      <c r="M374" s="28">
        <v>5</v>
      </c>
      <c r="N374" s="29">
        <f t="shared" si="53"/>
        <v>5.1998047999999972</v>
      </c>
      <c r="O374" s="30">
        <f t="shared" si="54"/>
        <v>37.94882879999998</v>
      </c>
    </row>
    <row r="375" spans="1:15" x14ac:dyDescent="0.3">
      <c r="A375" s="19"/>
      <c r="B375" s="20">
        <v>0.9375</v>
      </c>
      <c r="C375" s="21">
        <v>41.1</v>
      </c>
      <c r="D375" s="22">
        <v>34.200000000000003</v>
      </c>
      <c r="E375" s="7">
        <v>26</v>
      </c>
      <c r="F375" s="11">
        <f t="shared" ref="F375:F404" si="58">C375-D375</f>
        <v>6.8999999999999986</v>
      </c>
      <c r="G375" s="23">
        <f t="shared" si="57"/>
        <v>8.2000000000000028</v>
      </c>
      <c r="H375" s="24">
        <f t="shared" si="56"/>
        <v>45.695364238410576</v>
      </c>
      <c r="I375" s="25">
        <v>3124</v>
      </c>
      <c r="J375" s="26">
        <f t="shared" si="51"/>
        <v>6.8999999999999986</v>
      </c>
      <c r="K375" s="21">
        <f t="shared" si="52"/>
        <v>32.980067999999989</v>
      </c>
      <c r="L375" s="27">
        <v>1.75</v>
      </c>
      <c r="M375" s="28">
        <v>5</v>
      </c>
      <c r="N375" s="29">
        <f t="shared" si="53"/>
        <v>5.5960135999999974</v>
      </c>
      <c r="O375" s="30">
        <f t="shared" si="54"/>
        <v>40.326081599999988</v>
      </c>
    </row>
    <row r="376" spans="1:15" x14ac:dyDescent="0.3">
      <c r="A376" s="19"/>
      <c r="B376" s="20">
        <v>2.0833333333333332E-2</v>
      </c>
      <c r="C376" s="21">
        <v>41.1</v>
      </c>
      <c r="D376" s="22">
        <v>34.1</v>
      </c>
      <c r="E376" s="7">
        <v>26</v>
      </c>
      <c r="F376" s="11">
        <f t="shared" si="58"/>
        <v>7</v>
      </c>
      <c r="G376" s="23">
        <f t="shared" si="57"/>
        <v>8.1000000000000014</v>
      </c>
      <c r="H376" s="24">
        <f t="shared" si="56"/>
        <v>46.357615894039732</v>
      </c>
      <c r="I376" s="25">
        <v>3085</v>
      </c>
      <c r="J376" s="26">
        <f t="shared" si="51"/>
        <v>7</v>
      </c>
      <c r="K376" s="21">
        <f t="shared" si="52"/>
        <v>33.040349999999997</v>
      </c>
      <c r="L376" s="27">
        <v>1.75</v>
      </c>
      <c r="M376" s="28">
        <v>5</v>
      </c>
      <c r="N376" s="29">
        <f t="shared" si="53"/>
        <v>5.6080699999999997</v>
      </c>
      <c r="O376" s="30">
        <f t="shared" si="54"/>
        <v>40.398419999999994</v>
      </c>
    </row>
    <row r="377" spans="1:15" x14ac:dyDescent="0.3">
      <c r="A377" s="19"/>
      <c r="B377" s="20">
        <v>0.10416666666666667</v>
      </c>
      <c r="C377" s="21">
        <v>41.4</v>
      </c>
      <c r="D377" s="22">
        <v>34.299999999999997</v>
      </c>
      <c r="E377" s="7">
        <v>26</v>
      </c>
      <c r="F377" s="11">
        <f t="shared" si="58"/>
        <v>7.1000000000000014</v>
      </c>
      <c r="G377" s="23">
        <f t="shared" si="57"/>
        <v>8.2999999999999972</v>
      </c>
      <c r="H377" s="24">
        <f t="shared" si="56"/>
        <v>46.103896103896119</v>
      </c>
      <c r="I377" s="25">
        <v>3123</v>
      </c>
      <c r="J377" s="26">
        <f t="shared" si="51"/>
        <v>7.1000000000000014</v>
      </c>
      <c r="K377" s="21">
        <f t="shared" si="52"/>
        <v>33.925149000000005</v>
      </c>
      <c r="L377" s="27">
        <v>1.75</v>
      </c>
      <c r="M377" s="28">
        <v>5</v>
      </c>
      <c r="N377" s="29">
        <f t="shared" si="53"/>
        <v>5.7850298000000011</v>
      </c>
      <c r="O377" s="30">
        <f t="shared" si="54"/>
        <v>41.460178800000008</v>
      </c>
    </row>
    <row r="378" spans="1:15" x14ac:dyDescent="0.3">
      <c r="A378" s="19"/>
      <c r="B378" s="20">
        <v>0.1875</v>
      </c>
      <c r="C378" s="21">
        <v>41.1</v>
      </c>
      <c r="D378" s="35">
        <v>34.200000000000003</v>
      </c>
      <c r="E378" s="7">
        <v>26</v>
      </c>
      <c r="F378" s="11">
        <f t="shared" si="58"/>
        <v>6.8999999999999986</v>
      </c>
      <c r="G378" s="23">
        <f t="shared" si="57"/>
        <v>8.2000000000000028</v>
      </c>
      <c r="H378" s="24">
        <f t="shared" si="56"/>
        <v>45.695364238410576</v>
      </c>
      <c r="I378" s="25">
        <v>3165</v>
      </c>
      <c r="J378" s="26">
        <f t="shared" si="51"/>
        <v>6.8999999999999986</v>
      </c>
      <c r="K378" s="21">
        <f t="shared" si="52"/>
        <v>33.412904999999988</v>
      </c>
      <c r="L378" s="27">
        <v>1.75</v>
      </c>
      <c r="M378" s="28">
        <v>5</v>
      </c>
      <c r="N378" s="29">
        <f t="shared" si="53"/>
        <v>5.6825809999999972</v>
      </c>
      <c r="O378" s="30">
        <f t="shared" si="54"/>
        <v>40.845485999999987</v>
      </c>
    </row>
    <row r="379" spans="1:15" s="3" customFormat="1" x14ac:dyDescent="0.3">
      <c r="A379" s="34"/>
      <c r="B379" s="34"/>
      <c r="C379" s="34"/>
      <c r="D379" s="34"/>
      <c r="E379" s="34"/>
      <c r="F379" s="34"/>
      <c r="G379" s="34" t="s">
        <v>8</v>
      </c>
      <c r="H379" s="34">
        <f>AVERAGE(H367:H378)</f>
        <v>45.741180733422361</v>
      </c>
      <c r="I379" s="34"/>
      <c r="J379" s="34"/>
      <c r="K379" s="34">
        <f>AVERAGE(K367:K378)</f>
        <v>33.673642499999993</v>
      </c>
      <c r="L379" s="34"/>
      <c r="M379" s="34"/>
      <c r="N379" s="34">
        <f>AVERAGE(N367:N378)</f>
        <v>5.7347284999999992</v>
      </c>
      <c r="O379" s="34">
        <f>AVERAGE(O367:O378)</f>
        <v>41.158370999999995</v>
      </c>
    </row>
    <row r="380" spans="1:15" x14ac:dyDescent="0.3">
      <c r="A380" s="19">
        <v>44560</v>
      </c>
      <c r="B380" s="20">
        <v>0.27083333333333331</v>
      </c>
      <c r="C380" s="21">
        <v>40.299999999999997</v>
      </c>
      <c r="D380" s="22">
        <v>33.4</v>
      </c>
      <c r="E380" s="7">
        <v>26</v>
      </c>
      <c r="F380" s="11">
        <f t="shared" si="58"/>
        <v>6.8999999999999986</v>
      </c>
      <c r="G380" s="23">
        <f t="shared" si="57"/>
        <v>7.3999999999999986</v>
      </c>
      <c r="H380" s="24">
        <f t="shared" si="56"/>
        <v>48.251748251748253</v>
      </c>
      <c r="I380" s="25">
        <v>3066</v>
      </c>
      <c r="J380" s="26">
        <f t="shared" si="51"/>
        <v>6.8999999999999986</v>
      </c>
      <c r="K380" s="21">
        <f t="shared" si="52"/>
        <v>32.367761999999992</v>
      </c>
      <c r="L380" s="27">
        <v>1.75</v>
      </c>
      <c r="M380" s="28">
        <v>5</v>
      </c>
      <c r="N380" s="29">
        <f t="shared" si="53"/>
        <v>5.4735523999999982</v>
      </c>
      <c r="O380" s="30">
        <f t="shared" si="54"/>
        <v>39.591314399999987</v>
      </c>
    </row>
    <row r="381" spans="1:15" x14ac:dyDescent="0.3">
      <c r="A381" s="19"/>
      <c r="B381" s="20">
        <v>0.35416666666666669</v>
      </c>
      <c r="C381" s="21">
        <v>40.5</v>
      </c>
      <c r="D381" s="22">
        <v>33.4</v>
      </c>
      <c r="E381" s="7">
        <v>26</v>
      </c>
      <c r="F381" s="11">
        <f t="shared" si="58"/>
        <v>7.1000000000000014</v>
      </c>
      <c r="G381" s="23">
        <f t="shared" si="57"/>
        <v>7.3999999999999986</v>
      </c>
      <c r="H381" s="24">
        <f t="shared" si="56"/>
        <v>48.965517241379317</v>
      </c>
      <c r="I381" s="25">
        <v>3158</v>
      </c>
      <c r="J381" s="26">
        <f t="shared" si="51"/>
        <v>7.1000000000000014</v>
      </c>
      <c r="K381" s="21">
        <f t="shared" si="52"/>
        <v>34.305354000000008</v>
      </c>
      <c r="L381" s="27">
        <v>1.75</v>
      </c>
      <c r="M381" s="28">
        <v>5</v>
      </c>
      <c r="N381" s="29">
        <f t="shared" si="53"/>
        <v>5.861070800000002</v>
      </c>
      <c r="O381" s="30">
        <f t="shared" si="54"/>
        <v>41.916424800000009</v>
      </c>
    </row>
    <row r="382" spans="1:15" x14ac:dyDescent="0.3">
      <c r="A382" s="19"/>
      <c r="B382" s="20">
        <v>0.4375</v>
      </c>
      <c r="C382" s="21">
        <v>41.4</v>
      </c>
      <c r="D382" s="22">
        <v>34.200000000000003</v>
      </c>
      <c r="E382" s="7">
        <v>26</v>
      </c>
      <c r="F382" s="11">
        <f t="shared" si="58"/>
        <v>7.1999999999999957</v>
      </c>
      <c r="G382" s="23">
        <f t="shared" si="57"/>
        <v>8.2000000000000028</v>
      </c>
      <c r="H382" s="24">
        <f t="shared" si="56"/>
        <v>46.753246753246728</v>
      </c>
      <c r="I382" s="25">
        <v>3139</v>
      </c>
      <c r="J382" s="26">
        <f t="shared" si="51"/>
        <v>7.1999999999999957</v>
      </c>
      <c r="K382" s="21">
        <f t="shared" si="52"/>
        <v>34.579223999999982</v>
      </c>
      <c r="L382" s="27">
        <v>1.75</v>
      </c>
      <c r="M382" s="28">
        <v>5</v>
      </c>
      <c r="N382" s="29">
        <f t="shared" si="53"/>
        <v>5.9158447999999968</v>
      </c>
      <c r="O382" s="30">
        <f t="shared" si="54"/>
        <v>42.245068799999977</v>
      </c>
    </row>
    <row r="383" spans="1:15" x14ac:dyDescent="0.3">
      <c r="A383" s="19"/>
      <c r="B383" s="20">
        <v>0.52083333333333337</v>
      </c>
      <c r="C383" s="21">
        <v>42</v>
      </c>
      <c r="D383" s="22">
        <v>34.200000000000003</v>
      </c>
      <c r="E383" s="7">
        <v>26</v>
      </c>
      <c r="F383" s="11">
        <f t="shared" si="58"/>
        <v>7.7999999999999972</v>
      </c>
      <c r="G383" s="23">
        <f t="shared" si="57"/>
        <v>8.2000000000000028</v>
      </c>
      <c r="H383" s="24">
        <f t="shared" si="56"/>
        <v>48.749999999999986</v>
      </c>
      <c r="I383" s="25">
        <v>3182</v>
      </c>
      <c r="J383" s="26">
        <f t="shared" si="51"/>
        <v>7.7999999999999972</v>
      </c>
      <c r="K383" s="21">
        <f t="shared" si="52"/>
        <v>37.973987999999984</v>
      </c>
      <c r="L383" s="27">
        <v>1.75</v>
      </c>
      <c r="M383" s="28">
        <v>5</v>
      </c>
      <c r="N383" s="29">
        <f t="shared" si="53"/>
        <v>6.594797599999997</v>
      </c>
      <c r="O383" s="30">
        <f t="shared" si="54"/>
        <v>46.318785599999984</v>
      </c>
    </row>
    <row r="384" spans="1:15" x14ac:dyDescent="0.3">
      <c r="A384" s="19"/>
      <c r="B384" s="20">
        <v>0.60416666666666663</v>
      </c>
      <c r="C384" s="21">
        <v>42.3</v>
      </c>
      <c r="D384" s="22">
        <v>35.299999999999997</v>
      </c>
      <c r="E384" s="7">
        <v>26</v>
      </c>
      <c r="F384" s="11">
        <f t="shared" si="58"/>
        <v>7</v>
      </c>
      <c r="G384" s="23">
        <f t="shared" si="57"/>
        <v>9.2999999999999972</v>
      </c>
      <c r="H384" s="24">
        <f t="shared" si="56"/>
        <v>42.944785276073624</v>
      </c>
      <c r="I384" s="25">
        <v>3208</v>
      </c>
      <c r="J384" s="26">
        <f t="shared" si="51"/>
        <v>7</v>
      </c>
      <c r="K384" s="21">
        <f t="shared" si="52"/>
        <v>34.357679999999995</v>
      </c>
      <c r="L384" s="27">
        <v>1.75</v>
      </c>
      <c r="M384" s="28">
        <v>5</v>
      </c>
      <c r="N384" s="29">
        <f t="shared" si="53"/>
        <v>5.871535999999999</v>
      </c>
      <c r="O384" s="30">
        <f t="shared" si="54"/>
        <v>41.979215999999994</v>
      </c>
    </row>
    <row r="385" spans="1:15" x14ac:dyDescent="0.3">
      <c r="A385" s="19"/>
      <c r="B385" s="20">
        <v>0.6875</v>
      </c>
      <c r="C385" s="21">
        <v>42.1</v>
      </c>
      <c r="D385" s="22">
        <v>35</v>
      </c>
      <c r="E385" s="7">
        <v>26</v>
      </c>
      <c r="F385" s="11">
        <f t="shared" si="58"/>
        <v>7.1000000000000014</v>
      </c>
      <c r="G385" s="23">
        <f t="shared" si="57"/>
        <v>9</v>
      </c>
      <c r="H385" s="24">
        <f t="shared" si="56"/>
        <v>44.099378881987583</v>
      </c>
      <c r="I385" s="25">
        <v>3045</v>
      </c>
      <c r="J385" s="26">
        <f t="shared" si="51"/>
        <v>7.1000000000000014</v>
      </c>
      <c r="K385" s="21">
        <f t="shared" si="52"/>
        <v>33.077835</v>
      </c>
      <c r="L385" s="27">
        <v>1.75</v>
      </c>
      <c r="M385" s="28">
        <v>5</v>
      </c>
      <c r="N385" s="29">
        <f t="shared" si="53"/>
        <v>5.6155670000000004</v>
      </c>
      <c r="O385" s="30">
        <f t="shared" si="54"/>
        <v>40.443401999999999</v>
      </c>
    </row>
    <row r="386" spans="1:15" x14ac:dyDescent="0.3">
      <c r="A386" s="19"/>
      <c r="B386" s="20">
        <v>0.77083333333333337</v>
      </c>
      <c r="C386" s="21">
        <v>42.2</v>
      </c>
      <c r="D386" s="22">
        <v>35</v>
      </c>
      <c r="E386" s="7">
        <v>26</v>
      </c>
      <c r="F386" s="11">
        <f t="shared" si="58"/>
        <v>7.2000000000000028</v>
      </c>
      <c r="G386" s="23">
        <f t="shared" si="57"/>
        <v>9</v>
      </c>
      <c r="H386" s="24">
        <f t="shared" si="56"/>
        <v>44.44444444444445</v>
      </c>
      <c r="I386" s="25">
        <v>3111</v>
      </c>
      <c r="J386" s="26">
        <f t="shared" si="51"/>
        <v>7.2000000000000028</v>
      </c>
      <c r="K386" s="21">
        <f t="shared" si="52"/>
        <v>34.270776000000012</v>
      </c>
      <c r="L386" s="27">
        <v>1.75</v>
      </c>
      <c r="M386" s="28">
        <v>5</v>
      </c>
      <c r="N386" s="29">
        <f t="shared" si="53"/>
        <v>5.8541552000000028</v>
      </c>
      <c r="O386" s="30">
        <f t="shared" si="54"/>
        <v>41.874931200000013</v>
      </c>
    </row>
    <row r="387" spans="1:15" x14ac:dyDescent="0.3">
      <c r="A387" s="19"/>
      <c r="B387" s="20">
        <v>0.85416666666666663</v>
      </c>
      <c r="C387" s="32">
        <v>41.3</v>
      </c>
      <c r="D387" s="22">
        <v>34.299999999999997</v>
      </c>
      <c r="E387" s="7">
        <v>26</v>
      </c>
      <c r="F387" s="11">
        <f t="shared" si="58"/>
        <v>7</v>
      </c>
      <c r="G387" s="23">
        <f t="shared" si="57"/>
        <v>8.2999999999999972</v>
      </c>
      <c r="H387" s="24">
        <f t="shared" si="56"/>
        <v>45.751633986928113</v>
      </c>
      <c r="I387" s="25">
        <v>3072</v>
      </c>
      <c r="J387" s="26">
        <f t="shared" si="51"/>
        <v>7</v>
      </c>
      <c r="K387" s="21">
        <f t="shared" si="52"/>
        <v>32.901119999999999</v>
      </c>
      <c r="L387" s="27">
        <v>1.75</v>
      </c>
      <c r="M387" s="28">
        <v>5</v>
      </c>
      <c r="N387" s="29">
        <f t="shared" si="53"/>
        <v>5.5802239999999994</v>
      </c>
      <c r="O387" s="30">
        <f t="shared" si="54"/>
        <v>40.231344</v>
      </c>
    </row>
    <row r="388" spans="1:15" x14ac:dyDescent="0.3">
      <c r="A388" s="19"/>
      <c r="B388" s="20">
        <v>0.9375</v>
      </c>
      <c r="C388" s="21">
        <v>41.1</v>
      </c>
      <c r="D388" s="22">
        <v>34.299999999999997</v>
      </c>
      <c r="E388" s="7">
        <v>26</v>
      </c>
      <c r="F388" s="11">
        <f t="shared" si="58"/>
        <v>6.8000000000000043</v>
      </c>
      <c r="G388" s="23">
        <f t="shared" si="57"/>
        <v>8.2999999999999972</v>
      </c>
      <c r="H388" s="24">
        <f t="shared" si="56"/>
        <v>45.033112582781484</v>
      </c>
      <c r="I388" s="25">
        <v>3135</v>
      </c>
      <c r="J388" s="26">
        <f t="shared" ref="J388:J404" si="59">C388-D388</f>
        <v>6.8000000000000043</v>
      </c>
      <c r="K388" s="21">
        <f t="shared" ref="K388:K404" si="60">0.00085*1.8*I388*J388</f>
        <v>32.616540000000022</v>
      </c>
      <c r="L388" s="27">
        <v>1.75</v>
      </c>
      <c r="M388" s="28">
        <v>5</v>
      </c>
      <c r="N388" s="29">
        <f t="shared" ref="N388:N404" si="61">K388/M388-1</f>
        <v>5.5233080000000045</v>
      </c>
      <c r="O388" s="30">
        <f t="shared" ref="O388:O404" si="62">K388+L388+N388</f>
        <v>39.889848000000029</v>
      </c>
    </row>
    <row r="389" spans="1:15" x14ac:dyDescent="0.3">
      <c r="A389" s="19"/>
      <c r="B389" s="20">
        <v>2.0833333333333332E-2</v>
      </c>
      <c r="C389" s="21">
        <v>41</v>
      </c>
      <c r="D389" s="22">
        <v>34.200000000000003</v>
      </c>
      <c r="E389" s="7">
        <v>26</v>
      </c>
      <c r="F389" s="11">
        <f t="shared" si="58"/>
        <v>6.7999999999999972</v>
      </c>
      <c r="G389" s="23">
        <f t="shared" si="57"/>
        <v>8.2000000000000028</v>
      </c>
      <c r="H389" s="24">
        <f t="shared" si="56"/>
        <v>45.333333333333314</v>
      </c>
      <c r="I389" s="25">
        <v>3128</v>
      </c>
      <c r="J389" s="26">
        <f>C389-D389</f>
        <v>6.7999999999999972</v>
      </c>
      <c r="K389" s="21">
        <f t="shared" si="60"/>
        <v>32.543711999999985</v>
      </c>
      <c r="L389" s="27">
        <v>1.75</v>
      </c>
      <c r="M389" s="28">
        <v>5</v>
      </c>
      <c r="N389" s="29">
        <f t="shared" si="61"/>
        <v>5.5087423999999974</v>
      </c>
      <c r="O389" s="30">
        <f t="shared" si="62"/>
        <v>39.802454399999981</v>
      </c>
    </row>
    <row r="390" spans="1:15" x14ac:dyDescent="0.3">
      <c r="A390" s="19"/>
      <c r="B390" s="20">
        <v>0.10416666666666667</v>
      </c>
      <c r="C390" s="21">
        <v>41.3</v>
      </c>
      <c r="D390" s="22">
        <v>33.9</v>
      </c>
      <c r="E390" s="7">
        <v>26</v>
      </c>
      <c r="F390" s="11">
        <f t="shared" si="58"/>
        <v>7.3999999999999986</v>
      </c>
      <c r="G390" s="23">
        <f t="shared" si="57"/>
        <v>7.8999999999999986</v>
      </c>
      <c r="H390" s="24">
        <f t="shared" si="56"/>
        <v>48.366013071895424</v>
      </c>
      <c r="I390" s="25">
        <v>3170</v>
      </c>
      <c r="J390" s="26">
        <f t="shared" si="59"/>
        <v>7.3999999999999986</v>
      </c>
      <c r="K390" s="21">
        <f t="shared" si="60"/>
        <v>35.890739999999987</v>
      </c>
      <c r="L390" s="27">
        <v>1.75</v>
      </c>
      <c r="M390" s="28">
        <v>5</v>
      </c>
      <c r="N390" s="29">
        <f t="shared" si="61"/>
        <v>6.1781479999999975</v>
      </c>
      <c r="O390" s="30">
        <f t="shared" si="62"/>
        <v>43.818887999999987</v>
      </c>
    </row>
    <row r="391" spans="1:15" x14ac:dyDescent="0.3">
      <c r="A391" s="19"/>
      <c r="B391" s="20">
        <v>0.1875</v>
      </c>
      <c r="C391" s="21">
        <v>40.700000000000003</v>
      </c>
      <c r="D391" s="35">
        <v>33.6</v>
      </c>
      <c r="E391" s="7">
        <v>26</v>
      </c>
      <c r="F391" s="11">
        <f t="shared" si="58"/>
        <v>7.1000000000000014</v>
      </c>
      <c r="G391" s="23">
        <f>D391-E391</f>
        <v>7.6000000000000014</v>
      </c>
      <c r="H391" s="24">
        <f t="shared" si="56"/>
        <v>48.299319727891152</v>
      </c>
      <c r="I391" s="25">
        <v>3174</v>
      </c>
      <c r="J391" s="26">
        <f t="shared" si="59"/>
        <v>7.1000000000000014</v>
      </c>
      <c r="K391" s="21">
        <f t="shared" si="60"/>
        <v>34.479162000000002</v>
      </c>
      <c r="L391" s="27">
        <v>1.75</v>
      </c>
      <c r="M391" s="28">
        <v>5</v>
      </c>
      <c r="N391" s="29">
        <f t="shared" si="61"/>
        <v>5.8958324000000006</v>
      </c>
      <c r="O391" s="30">
        <f t="shared" si="62"/>
        <v>42.124994400000006</v>
      </c>
    </row>
    <row r="392" spans="1:15" s="3" customFormat="1" x14ac:dyDescent="0.3">
      <c r="A392" s="34"/>
      <c r="B392" s="34"/>
      <c r="C392" s="34"/>
      <c r="D392" s="34"/>
      <c r="E392" s="34"/>
      <c r="F392" s="34"/>
      <c r="G392" s="34" t="s">
        <v>8</v>
      </c>
      <c r="H392" s="34">
        <f>AVERAGE(H380:H391)</f>
        <v>46.416044462642454</v>
      </c>
      <c r="I392" s="34"/>
      <c r="J392" s="34"/>
      <c r="K392" s="34">
        <f>AVERAGE(K380:K391)</f>
        <v>34.113657749999994</v>
      </c>
      <c r="L392" s="34"/>
      <c r="M392" s="34"/>
      <c r="N392" s="34">
        <f>AVERAGE(N380:N391)</f>
        <v>5.8227315500000003</v>
      </c>
      <c r="O392" s="34">
        <f>AVERAGE(O380:O391)</f>
        <v>41.686389299999995</v>
      </c>
    </row>
    <row r="393" spans="1:15" x14ac:dyDescent="0.3">
      <c r="A393" s="19">
        <v>44561</v>
      </c>
      <c r="B393" s="20">
        <v>0.27083333333333331</v>
      </c>
      <c r="C393" s="21">
        <v>40.799999999999997</v>
      </c>
      <c r="D393" s="22">
        <v>33.6</v>
      </c>
      <c r="E393" s="7">
        <v>26</v>
      </c>
      <c r="F393" s="11">
        <f t="shared" si="58"/>
        <v>7.1999999999999957</v>
      </c>
      <c r="G393" s="23">
        <f t="shared" ref="G393:G404" si="63">D393-E393</f>
        <v>7.6000000000000014</v>
      </c>
      <c r="H393" s="24">
        <f t="shared" si="56"/>
        <v>48.648648648648631</v>
      </c>
      <c r="I393" s="25">
        <v>3174</v>
      </c>
      <c r="J393" s="26">
        <f t="shared" si="59"/>
        <v>7.1999999999999957</v>
      </c>
      <c r="K393" s="21">
        <f t="shared" si="60"/>
        <v>34.964783999999973</v>
      </c>
      <c r="L393" s="27">
        <v>1.75</v>
      </c>
      <c r="M393" s="28">
        <v>5</v>
      </c>
      <c r="N393" s="29">
        <f t="shared" si="61"/>
        <v>5.9929567999999946</v>
      </c>
      <c r="O393" s="30">
        <f t="shared" si="62"/>
        <v>42.707740799999968</v>
      </c>
    </row>
    <row r="394" spans="1:15" x14ac:dyDescent="0.3">
      <c r="A394" s="19"/>
      <c r="B394" s="20">
        <v>0.35416666666666669</v>
      </c>
      <c r="C394" s="21">
        <v>40.700000000000003</v>
      </c>
      <c r="D394" s="22">
        <v>33.5</v>
      </c>
      <c r="E394" s="7">
        <v>26</v>
      </c>
      <c r="F394" s="11">
        <f t="shared" si="58"/>
        <v>7.2000000000000028</v>
      </c>
      <c r="G394" s="23">
        <f t="shared" si="63"/>
        <v>7.5</v>
      </c>
      <c r="H394" s="24">
        <f t="shared" si="56"/>
        <v>48.979591836734706</v>
      </c>
      <c r="I394" s="25">
        <v>3126</v>
      </c>
      <c r="J394" s="26">
        <f t="shared" si="59"/>
        <v>7.2000000000000028</v>
      </c>
      <c r="K394" s="21">
        <f t="shared" si="60"/>
        <v>34.436016000000009</v>
      </c>
      <c r="L394" s="27">
        <v>1.75</v>
      </c>
      <c r="M394" s="28">
        <v>5</v>
      </c>
      <c r="N394" s="29">
        <f t="shared" si="61"/>
        <v>5.8872032000000019</v>
      </c>
      <c r="O394" s="30">
        <f t="shared" si="62"/>
        <v>42.073219200000011</v>
      </c>
    </row>
    <row r="395" spans="1:15" x14ac:dyDescent="0.3">
      <c r="A395" s="19"/>
      <c r="B395" s="20">
        <v>0.4375</v>
      </c>
      <c r="C395" s="21">
        <v>41.4</v>
      </c>
      <c r="D395" s="22">
        <v>34.4</v>
      </c>
      <c r="E395" s="7">
        <v>26</v>
      </c>
      <c r="F395" s="11">
        <f t="shared" si="58"/>
        <v>7</v>
      </c>
      <c r="G395" s="23">
        <f t="shared" si="63"/>
        <v>8.3999999999999986</v>
      </c>
      <c r="H395" s="24">
        <f t="shared" si="56"/>
        <v>45.45454545454546</v>
      </c>
      <c r="I395" s="25">
        <v>3090</v>
      </c>
      <c r="J395" s="26">
        <f t="shared" si="59"/>
        <v>7</v>
      </c>
      <c r="K395" s="21">
        <f t="shared" si="60"/>
        <v>33.093899999999998</v>
      </c>
      <c r="L395" s="27">
        <v>1.75</v>
      </c>
      <c r="M395" s="28">
        <v>5</v>
      </c>
      <c r="N395" s="29">
        <f t="shared" si="61"/>
        <v>5.6187799999999992</v>
      </c>
      <c r="O395" s="30">
        <f t="shared" si="62"/>
        <v>40.462679999999999</v>
      </c>
    </row>
    <row r="396" spans="1:15" x14ac:dyDescent="0.3">
      <c r="A396" s="19"/>
      <c r="B396" s="20">
        <v>0.52083333333333337</v>
      </c>
      <c r="C396" s="21">
        <v>41.6</v>
      </c>
      <c r="D396" s="22">
        <v>34.4</v>
      </c>
      <c r="E396" s="7">
        <v>26</v>
      </c>
      <c r="F396" s="11">
        <f t="shared" si="58"/>
        <v>7.2000000000000028</v>
      </c>
      <c r="G396" s="23">
        <f t="shared" si="63"/>
        <v>8.3999999999999986</v>
      </c>
      <c r="H396" s="24">
        <f t="shared" si="56"/>
        <v>46.153846153846168</v>
      </c>
      <c r="I396" s="25">
        <v>3087</v>
      </c>
      <c r="J396" s="26">
        <f t="shared" si="59"/>
        <v>7.2000000000000028</v>
      </c>
      <c r="K396" s="21">
        <f t="shared" si="60"/>
        <v>34.006392000000005</v>
      </c>
      <c r="L396" s="27">
        <v>1.75</v>
      </c>
      <c r="M396" s="28">
        <v>5</v>
      </c>
      <c r="N396" s="29">
        <f t="shared" si="61"/>
        <v>5.8012784000000011</v>
      </c>
      <c r="O396" s="30">
        <f t="shared" si="62"/>
        <v>41.557670400000006</v>
      </c>
    </row>
    <row r="397" spans="1:15" x14ac:dyDescent="0.3">
      <c r="A397" s="19"/>
      <c r="B397" s="20">
        <v>0.60416666666666663</v>
      </c>
      <c r="C397" s="21">
        <v>41.4</v>
      </c>
      <c r="D397" s="22">
        <v>34.4</v>
      </c>
      <c r="E397" s="7">
        <v>26</v>
      </c>
      <c r="F397" s="11">
        <f t="shared" si="58"/>
        <v>7</v>
      </c>
      <c r="G397" s="23">
        <f t="shared" si="63"/>
        <v>8.3999999999999986</v>
      </c>
      <c r="H397" s="24">
        <f t="shared" si="56"/>
        <v>45.45454545454546</v>
      </c>
      <c r="I397" s="25">
        <v>3120</v>
      </c>
      <c r="J397" s="26">
        <f t="shared" si="59"/>
        <v>7</v>
      </c>
      <c r="K397" s="21">
        <f t="shared" si="60"/>
        <v>33.415199999999999</v>
      </c>
      <c r="L397" s="27">
        <v>1.75</v>
      </c>
      <c r="M397" s="28">
        <v>5</v>
      </c>
      <c r="N397" s="29">
        <f t="shared" si="61"/>
        <v>5.6830400000000001</v>
      </c>
      <c r="O397" s="30">
        <f t="shared" si="62"/>
        <v>40.848239999999997</v>
      </c>
    </row>
    <row r="398" spans="1:15" x14ac:dyDescent="0.3">
      <c r="A398" s="19"/>
      <c r="B398" s="20">
        <v>0.6875</v>
      </c>
      <c r="C398" s="21">
        <v>42</v>
      </c>
      <c r="D398" s="22">
        <v>34.6</v>
      </c>
      <c r="E398" s="7">
        <v>26</v>
      </c>
      <c r="F398" s="11">
        <f t="shared" si="58"/>
        <v>7.3999999999999986</v>
      </c>
      <c r="G398" s="23">
        <f t="shared" si="63"/>
        <v>8.6000000000000014</v>
      </c>
      <c r="H398" s="24">
        <f t="shared" si="56"/>
        <v>46.249999999999993</v>
      </c>
      <c r="I398" s="25">
        <v>3100</v>
      </c>
      <c r="J398" s="26">
        <f t="shared" si="59"/>
        <v>7.3999999999999986</v>
      </c>
      <c r="K398" s="21">
        <f t="shared" si="60"/>
        <v>35.098199999999991</v>
      </c>
      <c r="L398" s="27">
        <v>1.75</v>
      </c>
      <c r="M398" s="28">
        <v>5</v>
      </c>
      <c r="N398" s="29">
        <f t="shared" si="61"/>
        <v>6.0196399999999981</v>
      </c>
      <c r="O398" s="30">
        <f t="shared" si="62"/>
        <v>42.867839999999987</v>
      </c>
    </row>
    <row r="399" spans="1:15" x14ac:dyDescent="0.3">
      <c r="A399" s="19"/>
      <c r="B399" s="20">
        <v>0.77083333333333337</v>
      </c>
      <c r="C399" s="21">
        <v>41.7</v>
      </c>
      <c r="D399" s="22">
        <v>34.4</v>
      </c>
      <c r="E399" s="7">
        <v>26</v>
      </c>
      <c r="F399" s="11">
        <f t="shared" si="58"/>
        <v>7.3000000000000043</v>
      </c>
      <c r="G399" s="23">
        <f t="shared" si="63"/>
        <v>8.3999999999999986</v>
      </c>
      <c r="H399" s="24">
        <f t="shared" si="56"/>
        <v>46.496815286624219</v>
      </c>
      <c r="I399" s="25">
        <v>3192</v>
      </c>
      <c r="J399" s="26">
        <f t="shared" si="59"/>
        <v>7.3000000000000043</v>
      </c>
      <c r="K399" s="21">
        <f t="shared" si="60"/>
        <v>35.651448000000016</v>
      </c>
      <c r="L399" s="27">
        <v>1.75</v>
      </c>
      <c r="M399" s="28">
        <v>5</v>
      </c>
      <c r="N399" s="29">
        <f t="shared" si="61"/>
        <v>6.1302896000000029</v>
      </c>
      <c r="O399" s="30">
        <f t="shared" si="62"/>
        <v>43.531737600000021</v>
      </c>
    </row>
    <row r="400" spans="1:15" x14ac:dyDescent="0.3">
      <c r="A400" s="19"/>
      <c r="B400" s="20">
        <v>0.85416666666666663</v>
      </c>
      <c r="C400" s="32">
        <v>41.2</v>
      </c>
      <c r="D400" s="22">
        <v>34.299999999999997</v>
      </c>
      <c r="E400" s="7">
        <v>26</v>
      </c>
      <c r="F400" s="11">
        <f t="shared" si="58"/>
        <v>6.9000000000000057</v>
      </c>
      <c r="G400" s="23">
        <f t="shared" si="63"/>
        <v>8.2999999999999972</v>
      </c>
      <c r="H400" s="24">
        <f t="shared" si="56"/>
        <v>45.394736842105296</v>
      </c>
      <c r="I400" s="25">
        <v>3159</v>
      </c>
      <c r="J400" s="26">
        <f t="shared" si="59"/>
        <v>6.9000000000000057</v>
      </c>
      <c r="K400" s="21">
        <f t="shared" si="60"/>
        <v>33.349563000000025</v>
      </c>
      <c r="L400" s="27">
        <v>1.75</v>
      </c>
      <c r="M400" s="28">
        <v>5</v>
      </c>
      <c r="N400" s="29">
        <f t="shared" si="61"/>
        <v>5.6699126000000053</v>
      </c>
      <c r="O400" s="30">
        <f t="shared" si="62"/>
        <v>40.769475600000028</v>
      </c>
    </row>
    <row r="401" spans="1:15" x14ac:dyDescent="0.3">
      <c r="A401" s="19"/>
      <c r="B401" s="20">
        <v>0.9375</v>
      </c>
      <c r="C401" s="21">
        <v>40.9</v>
      </c>
      <c r="D401" s="22">
        <v>33.9</v>
      </c>
      <c r="E401" s="7">
        <v>26</v>
      </c>
      <c r="F401" s="11">
        <f t="shared" si="58"/>
        <v>7</v>
      </c>
      <c r="G401" s="23">
        <f t="shared" si="63"/>
        <v>7.8999999999999986</v>
      </c>
      <c r="H401" s="24">
        <f t="shared" ref="H401:H404" si="64">(F401/(F401+G401))*100</f>
        <v>46.979865771812086</v>
      </c>
      <c r="I401" s="25">
        <v>3158</v>
      </c>
      <c r="J401" s="26">
        <f t="shared" si="59"/>
        <v>7</v>
      </c>
      <c r="K401" s="21">
        <f t="shared" si="60"/>
        <v>33.822180000000003</v>
      </c>
      <c r="L401" s="27">
        <v>1.75</v>
      </c>
      <c r="M401" s="28">
        <v>5</v>
      </c>
      <c r="N401" s="29">
        <f t="shared" si="61"/>
        <v>5.7644360000000008</v>
      </c>
      <c r="O401" s="30">
        <f t="shared" si="62"/>
        <v>41.336616000000006</v>
      </c>
    </row>
    <row r="402" spans="1:15" x14ac:dyDescent="0.3">
      <c r="A402" s="19"/>
      <c r="B402" s="20">
        <v>2.0833333333333332E-2</v>
      </c>
      <c r="C402" s="21">
        <v>40.5</v>
      </c>
      <c r="D402" s="22">
        <v>33.6</v>
      </c>
      <c r="E402" s="7">
        <v>26</v>
      </c>
      <c r="F402" s="11">
        <f t="shared" si="58"/>
        <v>6.8999999999999986</v>
      </c>
      <c r="G402" s="23">
        <f t="shared" si="63"/>
        <v>7.6000000000000014</v>
      </c>
      <c r="H402" s="24">
        <f t="shared" si="64"/>
        <v>47.586206896551715</v>
      </c>
      <c r="I402" s="25">
        <v>3192</v>
      </c>
      <c r="J402" s="26">
        <f t="shared" si="59"/>
        <v>6.8999999999999986</v>
      </c>
      <c r="K402" s="21">
        <f t="shared" si="60"/>
        <v>33.697943999999993</v>
      </c>
      <c r="L402" s="27">
        <v>1.75</v>
      </c>
      <c r="M402" s="28">
        <v>5</v>
      </c>
      <c r="N402" s="29">
        <f t="shared" si="61"/>
        <v>5.7395887999999982</v>
      </c>
      <c r="O402" s="30">
        <f t="shared" si="62"/>
        <v>41.187532799999993</v>
      </c>
    </row>
    <row r="403" spans="1:15" x14ac:dyDescent="0.3">
      <c r="A403" s="19"/>
      <c r="B403" s="20">
        <v>0.10416666666666667</v>
      </c>
      <c r="C403" s="21"/>
      <c r="D403" s="22"/>
      <c r="E403" s="7"/>
      <c r="F403" s="11"/>
      <c r="G403" s="23"/>
      <c r="H403" s="24"/>
      <c r="I403" s="25"/>
      <c r="J403" s="26"/>
      <c r="K403" s="21">
        <f>N393</f>
        <v>5.9929567999999946</v>
      </c>
      <c r="L403" s="27">
        <v>1.75</v>
      </c>
      <c r="M403" s="28">
        <v>5</v>
      </c>
      <c r="N403" s="29"/>
      <c r="O403" s="30"/>
    </row>
    <row r="404" spans="1:15" x14ac:dyDescent="0.3">
      <c r="A404" s="19"/>
      <c r="B404" s="20">
        <v>0.1875</v>
      </c>
      <c r="C404" s="21">
        <v>40.4</v>
      </c>
      <c r="D404" s="35">
        <v>33.299999999999997</v>
      </c>
      <c r="E404" s="7">
        <v>26</v>
      </c>
      <c r="F404" s="11">
        <f t="shared" si="58"/>
        <v>7.1000000000000014</v>
      </c>
      <c r="G404" s="23">
        <f t="shared" si="63"/>
        <v>7.2999999999999972</v>
      </c>
      <c r="H404" s="24">
        <f t="shared" si="64"/>
        <v>49.305555555555571</v>
      </c>
      <c r="I404" s="25">
        <v>3078</v>
      </c>
      <c r="J404" s="26">
        <f t="shared" si="59"/>
        <v>7.1000000000000014</v>
      </c>
      <c r="K404" s="21">
        <f t="shared" si="60"/>
        <v>33.43631400000001</v>
      </c>
      <c r="L404" s="27">
        <v>1.75</v>
      </c>
      <c r="M404" s="28">
        <v>5</v>
      </c>
      <c r="N404" s="29">
        <f t="shared" si="61"/>
        <v>5.6872628000000018</v>
      </c>
      <c r="O404" s="30">
        <f t="shared" si="62"/>
        <v>40.873576800000009</v>
      </c>
    </row>
    <row r="405" spans="1:15" s="3" customFormat="1" x14ac:dyDescent="0.3">
      <c r="A405" s="34"/>
      <c r="B405" s="34"/>
      <c r="C405" s="34"/>
      <c r="D405" s="34"/>
      <c r="E405" s="34"/>
      <c r="F405" s="34"/>
      <c r="G405" s="34" t="s">
        <v>8</v>
      </c>
      <c r="H405" s="34">
        <f>AVERAGE(H393:H404)</f>
        <v>46.973123445542662</v>
      </c>
      <c r="I405" s="34"/>
      <c r="J405" s="34"/>
      <c r="K405" s="34">
        <f>AVERAGE(K393:K404)</f>
        <v>31.747074816666668</v>
      </c>
      <c r="L405" s="34"/>
      <c r="M405" s="34"/>
      <c r="N405" s="34">
        <f>AVERAGE(N393:N404)</f>
        <v>5.817671654545455</v>
      </c>
      <c r="O405" s="34">
        <f>AVERAGE(O393:O404)</f>
        <v>41.656029927272726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78EF-C496-4327-A735-37E4F09B9FA9}">
  <dimension ref="A1:S405"/>
  <sheetViews>
    <sheetView topLeftCell="A10" zoomScale="71" workbookViewId="0">
      <selection activeCell="K5" sqref="K5"/>
    </sheetView>
  </sheetViews>
  <sheetFormatPr defaultRowHeight="14.4" x14ac:dyDescent="0.3"/>
  <cols>
    <col min="1" max="1" width="10.77734375" bestFit="1" customWidth="1"/>
    <col min="2" max="2" width="9.109375" bestFit="1" customWidth="1"/>
    <col min="3" max="3" width="24.21875" bestFit="1" customWidth="1"/>
    <col min="4" max="4" width="25.21875" bestFit="1" customWidth="1"/>
    <col min="5" max="5" width="5" bestFit="1" customWidth="1"/>
    <col min="6" max="6" width="6.88671875" bestFit="1" customWidth="1"/>
    <col min="7" max="7" width="10.109375" bestFit="1" customWidth="1"/>
    <col min="8" max="8" width="10.5546875" bestFit="1" customWidth="1"/>
    <col min="9" max="9" width="19.109375" bestFit="1" customWidth="1"/>
    <col min="10" max="10" width="24.33203125" bestFit="1" customWidth="1"/>
    <col min="11" max="11" width="17.77734375" bestFit="1" customWidth="1"/>
    <col min="12" max="12" width="10.33203125" bestFit="1" customWidth="1"/>
    <col min="13" max="13" width="4.6640625" bestFit="1" customWidth="1"/>
    <col min="14" max="14" width="16.88671875" bestFit="1" customWidth="1"/>
    <col min="15" max="15" width="15.109375" bestFit="1" customWidth="1"/>
  </cols>
  <sheetData>
    <row r="1" spans="1:19" ht="31.8" customHeight="1" x14ac:dyDescent="0.35">
      <c r="A1" s="44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3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1" t="s">
        <v>5</v>
      </c>
      <c r="G2" s="12" t="s">
        <v>6</v>
      </c>
      <c r="H2" s="7" t="s">
        <v>7</v>
      </c>
      <c r="I2" s="13" t="s">
        <v>9</v>
      </c>
      <c r="J2" s="14" t="s">
        <v>10</v>
      </c>
      <c r="K2" s="8" t="s">
        <v>11</v>
      </c>
      <c r="L2" s="15" t="s">
        <v>12</v>
      </c>
      <c r="M2" s="18" t="s">
        <v>15</v>
      </c>
      <c r="N2" s="37" t="s">
        <v>16</v>
      </c>
      <c r="O2" s="9" t="s">
        <v>13</v>
      </c>
    </row>
    <row r="3" spans="1:19" x14ac:dyDescent="0.3">
      <c r="A3" s="19">
        <v>44562</v>
      </c>
      <c r="B3" s="20">
        <v>0.27083333333333331</v>
      </c>
      <c r="C3" s="21">
        <v>40</v>
      </c>
      <c r="D3" s="33">
        <v>32.799999999999997</v>
      </c>
      <c r="E3" s="7">
        <v>26</v>
      </c>
      <c r="F3" s="11">
        <f>C3-D3</f>
        <v>7.2000000000000028</v>
      </c>
      <c r="G3" s="23">
        <f>D3-E3</f>
        <v>6.7999999999999972</v>
      </c>
      <c r="H3" s="24">
        <f>(F3/(F3+G3))*100</f>
        <v>51.428571428571445</v>
      </c>
      <c r="I3" s="25">
        <v>3166</v>
      </c>
      <c r="J3" s="26">
        <f>C3-D3</f>
        <v>7.2000000000000028</v>
      </c>
      <c r="K3" s="21">
        <f>0.00085*1.8*I3*J3</f>
        <v>34.876656000000011</v>
      </c>
      <c r="L3" s="38">
        <v>1.75</v>
      </c>
      <c r="M3" s="30">
        <v>5</v>
      </c>
      <c r="N3" s="28">
        <f>K3/M3-1</f>
        <v>5.9753312000000021</v>
      </c>
      <c r="O3" s="39">
        <f>K3+L3+N3</f>
        <v>42.601987200000011</v>
      </c>
    </row>
    <row r="4" spans="1:19" x14ac:dyDescent="0.3">
      <c r="A4" s="19"/>
      <c r="B4" s="20">
        <v>0.35416666666666669</v>
      </c>
      <c r="C4" s="21">
        <v>40.1</v>
      </c>
      <c r="D4" s="33">
        <v>32.799999999999997</v>
      </c>
      <c r="E4" s="7">
        <v>26</v>
      </c>
      <c r="F4" s="11">
        <f t="shared" ref="F4:F66" si="0">C4-D4</f>
        <v>7.3000000000000043</v>
      </c>
      <c r="G4" s="23">
        <f t="shared" ref="G4:G66" si="1">D4-E4</f>
        <v>6.7999999999999972</v>
      </c>
      <c r="H4" s="24">
        <f t="shared" ref="H4:H66" si="2">(F4/(F4+G4))*100</f>
        <v>51.773049645390103</v>
      </c>
      <c r="I4" s="25">
        <v>3081</v>
      </c>
      <c r="J4" s="26">
        <f t="shared" ref="J4:J66" si="3">C4-D4</f>
        <v>7.3000000000000043</v>
      </c>
      <c r="K4" s="21">
        <f t="shared" ref="K4:K66" si="4">0.00085*1.8*I4*J4</f>
        <v>34.411689000000017</v>
      </c>
      <c r="L4" s="38">
        <v>1.75</v>
      </c>
      <c r="M4" s="30">
        <v>5</v>
      </c>
      <c r="N4" s="28">
        <f t="shared" ref="N4:N66" si="5">K4/M4-1</f>
        <v>5.8823378000000037</v>
      </c>
      <c r="O4" s="39">
        <f t="shared" ref="O4:O66" si="6">K4+L4+N4</f>
        <v>42.044026800000019</v>
      </c>
    </row>
    <row r="5" spans="1:19" x14ac:dyDescent="0.3">
      <c r="A5" s="19"/>
      <c r="B5" s="20">
        <v>0.4375</v>
      </c>
      <c r="C5" s="21">
        <v>40.5</v>
      </c>
      <c r="D5" s="33">
        <v>33.4</v>
      </c>
      <c r="E5" s="7">
        <v>26</v>
      </c>
      <c r="F5" s="11">
        <f t="shared" si="0"/>
        <v>7.1000000000000014</v>
      </c>
      <c r="G5" s="23">
        <f t="shared" si="1"/>
        <v>7.3999999999999986</v>
      </c>
      <c r="H5" s="24">
        <f t="shared" si="2"/>
        <v>48.965517241379317</v>
      </c>
      <c r="I5" s="25">
        <v>3120</v>
      </c>
      <c r="J5" s="26">
        <f t="shared" si="3"/>
        <v>7.1000000000000014</v>
      </c>
      <c r="K5" s="21">
        <f t="shared" si="4"/>
        <v>33.89256000000001</v>
      </c>
      <c r="L5" s="38">
        <v>1.75</v>
      </c>
      <c r="M5" s="30">
        <v>5</v>
      </c>
      <c r="N5" s="28">
        <f t="shared" si="5"/>
        <v>5.7785120000000019</v>
      </c>
      <c r="O5" s="39">
        <f t="shared" si="6"/>
        <v>41.421072000000009</v>
      </c>
    </row>
    <row r="6" spans="1:19" x14ac:dyDescent="0.3">
      <c r="A6" s="19"/>
      <c r="B6" s="20">
        <v>0.52083333333333337</v>
      </c>
      <c r="C6" s="21">
        <v>40.9</v>
      </c>
      <c r="D6" s="33">
        <v>33.799999999999997</v>
      </c>
      <c r="E6" s="7">
        <v>26</v>
      </c>
      <c r="F6" s="11">
        <f t="shared" si="0"/>
        <v>7.1000000000000014</v>
      </c>
      <c r="G6" s="23">
        <f t="shared" si="1"/>
        <v>7.7999999999999972</v>
      </c>
      <c r="H6" s="24">
        <f t="shared" si="2"/>
        <v>47.651006711409408</v>
      </c>
      <c r="I6" s="25">
        <v>3141</v>
      </c>
      <c r="J6" s="26">
        <f t="shared" si="3"/>
        <v>7.1000000000000014</v>
      </c>
      <c r="K6" s="21">
        <f t="shared" si="4"/>
        <v>34.120683000000007</v>
      </c>
      <c r="L6" s="38">
        <v>1.75</v>
      </c>
      <c r="M6" s="30">
        <v>5</v>
      </c>
      <c r="N6" s="28">
        <f t="shared" si="5"/>
        <v>5.824136600000001</v>
      </c>
      <c r="O6" s="39">
        <f t="shared" si="6"/>
        <v>41.69481960000001</v>
      </c>
    </row>
    <row r="7" spans="1:19" x14ac:dyDescent="0.3">
      <c r="A7" s="19"/>
      <c r="B7" s="20">
        <v>0.60416666666666663</v>
      </c>
      <c r="C7" s="21">
        <v>41.1</v>
      </c>
      <c r="D7" s="33">
        <v>34</v>
      </c>
      <c r="E7" s="7">
        <v>26</v>
      </c>
      <c r="F7" s="11">
        <f t="shared" si="0"/>
        <v>7.1000000000000014</v>
      </c>
      <c r="G7" s="23">
        <f t="shared" si="1"/>
        <v>8</v>
      </c>
      <c r="H7" s="24">
        <f t="shared" si="2"/>
        <v>47.019867549668881</v>
      </c>
      <c r="I7" s="25">
        <v>3151</v>
      </c>
      <c r="J7" s="26">
        <f t="shared" si="3"/>
        <v>7.1000000000000014</v>
      </c>
      <c r="K7" s="21">
        <f t="shared" si="4"/>
        <v>34.229313000000005</v>
      </c>
      <c r="L7" s="38">
        <v>1.75</v>
      </c>
      <c r="M7" s="30">
        <v>5</v>
      </c>
      <c r="N7" s="28">
        <f t="shared" si="5"/>
        <v>5.8458626000000011</v>
      </c>
      <c r="O7" s="39">
        <f t="shared" si="6"/>
        <v>41.825175600000009</v>
      </c>
    </row>
    <row r="8" spans="1:19" x14ac:dyDescent="0.3">
      <c r="A8" s="19"/>
      <c r="B8" s="20">
        <v>0.6875</v>
      </c>
      <c r="C8" s="21">
        <v>41.2</v>
      </c>
      <c r="D8" s="33">
        <v>34</v>
      </c>
      <c r="E8" s="7">
        <v>26</v>
      </c>
      <c r="F8" s="11">
        <f t="shared" si="0"/>
        <v>7.2000000000000028</v>
      </c>
      <c r="G8" s="23">
        <f t="shared" si="1"/>
        <v>8</v>
      </c>
      <c r="H8" s="24">
        <f t="shared" si="2"/>
        <v>47.368421052631589</v>
      </c>
      <c r="I8" s="25">
        <v>3118</v>
      </c>
      <c r="J8" s="26">
        <f t="shared" si="3"/>
        <v>7.2000000000000028</v>
      </c>
      <c r="K8" s="21">
        <f t="shared" si="4"/>
        <v>34.347888000000012</v>
      </c>
      <c r="L8" s="38">
        <v>1.75</v>
      </c>
      <c r="M8" s="30">
        <v>5</v>
      </c>
      <c r="N8" s="28">
        <f t="shared" si="5"/>
        <v>5.8695776000000022</v>
      </c>
      <c r="O8" s="39">
        <f t="shared" si="6"/>
        <v>41.967465600000011</v>
      </c>
    </row>
    <row r="9" spans="1:19" x14ac:dyDescent="0.3">
      <c r="A9" s="19"/>
      <c r="B9" s="20">
        <v>0.77083333333333337</v>
      </c>
      <c r="C9" s="21">
        <v>41.4</v>
      </c>
      <c r="D9" s="33">
        <v>34</v>
      </c>
      <c r="E9" s="7">
        <v>26</v>
      </c>
      <c r="F9" s="11">
        <f t="shared" si="0"/>
        <v>7.3999999999999986</v>
      </c>
      <c r="G9" s="23">
        <f t="shared" si="1"/>
        <v>8</v>
      </c>
      <c r="H9" s="24">
        <f t="shared" si="2"/>
        <v>48.051948051948045</v>
      </c>
      <c r="I9" s="25">
        <v>3124</v>
      </c>
      <c r="J9" s="26">
        <f t="shared" si="3"/>
        <v>7.3999999999999986</v>
      </c>
      <c r="K9" s="21">
        <f t="shared" si="4"/>
        <v>35.369927999999987</v>
      </c>
      <c r="L9" s="38">
        <v>1.75</v>
      </c>
      <c r="M9" s="30">
        <v>5</v>
      </c>
      <c r="N9" s="28">
        <f t="shared" si="5"/>
        <v>6.0739855999999977</v>
      </c>
      <c r="O9" s="39">
        <f t="shared" si="6"/>
        <v>43.193913599999988</v>
      </c>
    </row>
    <row r="10" spans="1:19" x14ac:dyDescent="0.3">
      <c r="A10" s="19"/>
      <c r="B10" s="20">
        <v>0.85416666666666663</v>
      </c>
      <c r="C10" s="21">
        <v>39.6</v>
      </c>
      <c r="D10" s="33">
        <v>33.200000000000003</v>
      </c>
      <c r="E10" s="7">
        <v>26</v>
      </c>
      <c r="F10" s="11">
        <f t="shared" si="0"/>
        <v>6.3999999999999986</v>
      </c>
      <c r="G10" s="23">
        <f t="shared" si="1"/>
        <v>7.2000000000000028</v>
      </c>
      <c r="H10" s="24">
        <f t="shared" si="2"/>
        <v>47.058823529411747</v>
      </c>
      <c r="I10" s="25">
        <v>3147</v>
      </c>
      <c r="J10" s="26">
        <f t="shared" si="3"/>
        <v>6.3999999999999986</v>
      </c>
      <c r="K10" s="21">
        <f t="shared" si="4"/>
        <v>30.815423999999989</v>
      </c>
      <c r="L10" s="38">
        <v>1.75</v>
      </c>
      <c r="M10" s="30">
        <v>5</v>
      </c>
      <c r="N10" s="28">
        <f t="shared" si="5"/>
        <v>5.1630847999999983</v>
      </c>
      <c r="O10" s="39">
        <f t="shared" si="6"/>
        <v>37.728508799999993</v>
      </c>
    </row>
    <row r="11" spans="1:19" x14ac:dyDescent="0.3">
      <c r="A11" s="19"/>
      <c r="B11" s="20">
        <v>0.9375</v>
      </c>
      <c r="C11" s="21">
        <v>39.1</v>
      </c>
      <c r="D11" s="33">
        <v>32.9</v>
      </c>
      <c r="E11" s="7">
        <v>26</v>
      </c>
      <c r="F11" s="11">
        <f t="shared" si="0"/>
        <v>6.2000000000000028</v>
      </c>
      <c r="G11" s="23">
        <f t="shared" si="1"/>
        <v>6.8999999999999986</v>
      </c>
      <c r="H11" s="24">
        <f t="shared" si="2"/>
        <v>47.32824427480918</v>
      </c>
      <c r="I11" s="25">
        <v>3142</v>
      </c>
      <c r="J11" s="26">
        <f t="shared" si="3"/>
        <v>6.2000000000000028</v>
      </c>
      <c r="K11" s="21">
        <f t="shared" si="4"/>
        <v>29.805012000000008</v>
      </c>
      <c r="L11" s="38">
        <v>1.75</v>
      </c>
      <c r="M11" s="30">
        <v>5</v>
      </c>
      <c r="N11" s="28">
        <f t="shared" si="5"/>
        <v>4.9610024000000017</v>
      </c>
      <c r="O11" s="39">
        <f t="shared" si="6"/>
        <v>36.51601440000001</v>
      </c>
    </row>
    <row r="12" spans="1:19" x14ac:dyDescent="0.3">
      <c r="A12" s="19"/>
      <c r="B12" s="20">
        <v>2.0833333333333332E-2</v>
      </c>
      <c r="C12" s="21">
        <v>38.9</v>
      </c>
      <c r="D12" s="33">
        <v>32.700000000000003</v>
      </c>
      <c r="E12" s="7">
        <v>26</v>
      </c>
      <c r="F12" s="11">
        <f t="shared" si="0"/>
        <v>6.1999999999999957</v>
      </c>
      <c r="G12" s="23">
        <f t="shared" si="1"/>
        <v>6.7000000000000028</v>
      </c>
      <c r="H12" s="24">
        <f t="shared" si="2"/>
        <v>48.062015503875941</v>
      </c>
      <c r="I12" s="25">
        <v>3141</v>
      </c>
      <c r="J12" s="26">
        <f t="shared" si="3"/>
        <v>6.1999999999999957</v>
      </c>
      <c r="K12" s="21">
        <f t="shared" si="4"/>
        <v>29.795525999999978</v>
      </c>
      <c r="L12" s="38">
        <v>1.75</v>
      </c>
      <c r="M12" s="30">
        <v>5</v>
      </c>
      <c r="N12" s="28">
        <f t="shared" si="5"/>
        <v>4.9591051999999953</v>
      </c>
      <c r="O12" s="39">
        <f t="shared" si="6"/>
        <v>36.50463119999997</v>
      </c>
    </row>
    <row r="13" spans="1:19" x14ac:dyDescent="0.3">
      <c r="A13" s="19"/>
      <c r="B13" s="20">
        <v>0.10416666666666667</v>
      </c>
      <c r="C13" s="21">
        <v>39.4</v>
      </c>
      <c r="D13" s="33">
        <v>33.1</v>
      </c>
      <c r="E13" s="7">
        <v>26</v>
      </c>
      <c r="F13" s="11">
        <f t="shared" si="0"/>
        <v>6.2999999999999972</v>
      </c>
      <c r="G13" s="23">
        <f t="shared" si="1"/>
        <v>7.1000000000000014</v>
      </c>
      <c r="H13" s="24">
        <f t="shared" si="2"/>
        <v>47.014925373134311</v>
      </c>
      <c r="I13" s="25">
        <v>3141</v>
      </c>
      <c r="J13" s="26">
        <f t="shared" si="3"/>
        <v>6.2999999999999972</v>
      </c>
      <c r="K13" s="21">
        <f t="shared" si="4"/>
        <v>30.276098999999984</v>
      </c>
      <c r="L13" s="38">
        <v>1.75</v>
      </c>
      <c r="M13" s="30">
        <v>5</v>
      </c>
      <c r="N13" s="28">
        <f t="shared" si="5"/>
        <v>5.055219799999997</v>
      </c>
      <c r="O13" s="39">
        <f t="shared" si="6"/>
        <v>37.081318799999984</v>
      </c>
    </row>
    <row r="14" spans="1:19" x14ac:dyDescent="0.3">
      <c r="A14" s="19"/>
      <c r="B14" s="20">
        <v>0.1875</v>
      </c>
      <c r="C14" s="21">
        <v>38.9</v>
      </c>
      <c r="D14" s="33">
        <v>32.6</v>
      </c>
      <c r="E14" s="7">
        <v>26</v>
      </c>
      <c r="F14" s="11">
        <f t="shared" si="0"/>
        <v>6.2999999999999972</v>
      </c>
      <c r="G14" s="23">
        <f t="shared" si="1"/>
        <v>6.6000000000000014</v>
      </c>
      <c r="H14" s="24">
        <f t="shared" si="2"/>
        <v>48.837209302325562</v>
      </c>
      <c r="I14" s="25">
        <v>3140</v>
      </c>
      <c r="J14" s="26">
        <f t="shared" si="3"/>
        <v>6.2999999999999972</v>
      </c>
      <c r="K14" s="21">
        <f t="shared" si="4"/>
        <v>30.266459999999984</v>
      </c>
      <c r="L14" s="38">
        <v>1.75</v>
      </c>
      <c r="M14" s="30">
        <v>5</v>
      </c>
      <c r="N14" s="28">
        <f t="shared" si="5"/>
        <v>5.0532919999999972</v>
      </c>
      <c r="O14" s="39">
        <f t="shared" si="6"/>
        <v>37.06975199999998</v>
      </c>
    </row>
    <row r="15" spans="1:19" s="3" customFormat="1" x14ac:dyDescent="0.3">
      <c r="A15" s="34"/>
      <c r="B15" s="34"/>
      <c r="C15" s="34"/>
      <c r="D15" s="34"/>
      <c r="E15" s="34"/>
      <c r="F15" s="34"/>
      <c r="G15" s="34" t="s">
        <v>8</v>
      </c>
      <c r="H15" s="34">
        <f>AVERAGE(H3:H14)</f>
        <v>48.379966638712972</v>
      </c>
      <c r="I15" s="34"/>
      <c r="J15" s="34"/>
      <c r="K15" s="34">
        <f>AVERAGE(K3:K14)</f>
        <v>32.683936500000002</v>
      </c>
      <c r="L15" s="34"/>
      <c r="M15" s="34"/>
      <c r="N15" s="34">
        <f>AVERAGE(N3:N14)</f>
        <v>5.5367873000000003</v>
      </c>
      <c r="O15" s="34">
        <f>AVERAGE(O3:O14)</f>
        <v>39.970723799999995</v>
      </c>
    </row>
    <row r="16" spans="1:19" x14ac:dyDescent="0.3">
      <c r="A16" s="40">
        <v>44563</v>
      </c>
      <c r="B16" s="20">
        <v>0.27083333333333331</v>
      </c>
      <c r="C16" s="21">
        <v>38.4</v>
      </c>
      <c r="D16" s="33">
        <v>32.1</v>
      </c>
      <c r="E16" s="7">
        <v>26</v>
      </c>
      <c r="F16" s="11">
        <f t="shared" si="0"/>
        <v>6.2999999999999972</v>
      </c>
      <c r="G16" s="23">
        <f t="shared" si="1"/>
        <v>6.1000000000000014</v>
      </c>
      <c r="H16" s="24">
        <f t="shared" si="2"/>
        <v>50.806451612903217</v>
      </c>
      <c r="I16" s="25">
        <v>3141</v>
      </c>
      <c r="J16" s="26">
        <f t="shared" si="3"/>
        <v>6.2999999999999972</v>
      </c>
      <c r="K16" s="21">
        <f t="shared" si="4"/>
        <v>30.276098999999984</v>
      </c>
      <c r="L16" s="38">
        <v>1.75</v>
      </c>
      <c r="M16" s="30">
        <v>5</v>
      </c>
      <c r="N16" s="28">
        <f t="shared" si="5"/>
        <v>5.055219799999997</v>
      </c>
      <c r="O16" s="39">
        <f t="shared" si="6"/>
        <v>37.081318799999984</v>
      </c>
    </row>
    <row r="17" spans="1:15" x14ac:dyDescent="0.3">
      <c r="A17" s="41"/>
      <c r="B17" s="20">
        <v>0.35416666666666669</v>
      </c>
      <c r="C17" s="21">
        <v>38.4</v>
      </c>
      <c r="D17" s="33">
        <v>32</v>
      </c>
      <c r="E17" s="7">
        <v>26</v>
      </c>
      <c r="F17" s="11">
        <f t="shared" si="0"/>
        <v>6.3999999999999986</v>
      </c>
      <c r="G17" s="23">
        <f t="shared" si="1"/>
        <v>6</v>
      </c>
      <c r="H17" s="24">
        <f t="shared" si="2"/>
        <v>51.612903225806448</v>
      </c>
      <c r="I17" s="25">
        <v>3160</v>
      </c>
      <c r="J17" s="26">
        <f t="shared" si="3"/>
        <v>6.3999999999999986</v>
      </c>
      <c r="K17" s="21">
        <f t="shared" si="4"/>
        <v>30.942719999999991</v>
      </c>
      <c r="L17" s="38">
        <v>1.75</v>
      </c>
      <c r="M17" s="30">
        <v>5</v>
      </c>
      <c r="N17" s="28">
        <f t="shared" si="5"/>
        <v>5.1885439999999985</v>
      </c>
      <c r="O17" s="39">
        <f t="shared" si="6"/>
        <v>37.881263999999994</v>
      </c>
    </row>
    <row r="18" spans="1:15" x14ac:dyDescent="0.3">
      <c r="A18" s="41"/>
      <c r="B18" s="20">
        <v>0.4375</v>
      </c>
      <c r="C18" s="21">
        <v>38.799999999999997</v>
      </c>
      <c r="D18" s="33">
        <v>32.5</v>
      </c>
      <c r="E18" s="7">
        <v>26</v>
      </c>
      <c r="F18" s="11">
        <f t="shared" si="0"/>
        <v>6.2999999999999972</v>
      </c>
      <c r="G18" s="23">
        <f t="shared" si="1"/>
        <v>6.5</v>
      </c>
      <c r="H18" s="24">
        <f t="shared" si="2"/>
        <v>49.218749999999986</v>
      </c>
      <c r="I18" s="25">
        <v>3138</v>
      </c>
      <c r="J18" s="26">
        <f t="shared" si="3"/>
        <v>6.2999999999999972</v>
      </c>
      <c r="K18" s="21">
        <f t="shared" si="4"/>
        <v>30.247181999999981</v>
      </c>
      <c r="L18" s="38">
        <v>1.75</v>
      </c>
      <c r="M18" s="30">
        <v>5</v>
      </c>
      <c r="N18" s="28">
        <f t="shared" si="5"/>
        <v>5.0494363999999958</v>
      </c>
      <c r="O18" s="39">
        <f t="shared" si="6"/>
        <v>37.046618399999979</v>
      </c>
    </row>
    <row r="19" spans="1:15" x14ac:dyDescent="0.3">
      <c r="A19" s="41"/>
      <c r="B19" s="20">
        <v>0.52083333333333337</v>
      </c>
      <c r="C19" s="21">
        <v>39.799999999999997</v>
      </c>
      <c r="D19" s="33">
        <v>33.4</v>
      </c>
      <c r="E19" s="7">
        <v>26</v>
      </c>
      <c r="F19" s="11">
        <f t="shared" si="0"/>
        <v>6.3999999999999986</v>
      </c>
      <c r="G19" s="23">
        <f t="shared" si="1"/>
        <v>7.3999999999999986</v>
      </c>
      <c r="H19" s="24">
        <f t="shared" si="2"/>
        <v>46.376811594202898</v>
      </c>
      <c r="I19" s="25">
        <v>3188</v>
      </c>
      <c r="J19" s="26">
        <f t="shared" si="3"/>
        <v>6.3999999999999986</v>
      </c>
      <c r="K19" s="21">
        <f t="shared" si="4"/>
        <v>31.216895999999991</v>
      </c>
      <c r="L19" s="38">
        <v>1.75</v>
      </c>
      <c r="M19" s="30">
        <v>5</v>
      </c>
      <c r="N19" s="28">
        <f t="shared" si="5"/>
        <v>5.2433791999999979</v>
      </c>
      <c r="O19" s="39">
        <f t="shared" si="6"/>
        <v>38.210275199999991</v>
      </c>
    </row>
    <row r="20" spans="1:15" x14ac:dyDescent="0.3">
      <c r="A20" s="41"/>
      <c r="B20" s="20">
        <v>0.60416666666666663</v>
      </c>
      <c r="C20" s="21">
        <v>39.5</v>
      </c>
      <c r="D20" s="33">
        <v>33.200000000000003</v>
      </c>
      <c r="E20" s="7">
        <v>26</v>
      </c>
      <c r="F20" s="11">
        <f t="shared" si="0"/>
        <v>6.2999999999999972</v>
      </c>
      <c r="G20" s="23">
        <f t="shared" si="1"/>
        <v>7.2000000000000028</v>
      </c>
      <c r="H20" s="24">
        <f t="shared" si="2"/>
        <v>46.666666666666643</v>
      </c>
      <c r="I20" s="25">
        <v>3156</v>
      </c>
      <c r="J20" s="26">
        <f t="shared" si="3"/>
        <v>6.2999999999999972</v>
      </c>
      <c r="K20" s="21">
        <f t="shared" si="4"/>
        <v>30.420683999999984</v>
      </c>
      <c r="L20" s="38">
        <v>1.75</v>
      </c>
      <c r="M20" s="30">
        <v>5</v>
      </c>
      <c r="N20" s="28">
        <f t="shared" si="5"/>
        <v>5.0841367999999969</v>
      </c>
      <c r="O20" s="39">
        <f t="shared" si="6"/>
        <v>37.254820799999976</v>
      </c>
    </row>
    <row r="21" spans="1:15" x14ac:dyDescent="0.3">
      <c r="A21" s="41"/>
      <c r="B21" s="20">
        <v>0.6875</v>
      </c>
      <c r="C21" s="21">
        <v>38.6</v>
      </c>
      <c r="D21" s="33">
        <v>32.4</v>
      </c>
      <c r="E21" s="7">
        <v>26</v>
      </c>
      <c r="F21" s="11">
        <f t="shared" si="0"/>
        <v>6.2000000000000028</v>
      </c>
      <c r="G21" s="23">
        <f t="shared" si="1"/>
        <v>6.3999999999999986</v>
      </c>
      <c r="H21" s="24">
        <f t="shared" si="2"/>
        <v>49.206349206349223</v>
      </c>
      <c r="I21" s="25">
        <v>3180</v>
      </c>
      <c r="J21" s="26">
        <f t="shared" si="3"/>
        <v>6.2000000000000028</v>
      </c>
      <c r="K21" s="21">
        <f t="shared" si="4"/>
        <v>30.165480000000009</v>
      </c>
      <c r="L21" s="38">
        <v>1.75</v>
      </c>
      <c r="M21" s="30">
        <v>5</v>
      </c>
      <c r="N21" s="28">
        <f t="shared" si="5"/>
        <v>5.0330960000000022</v>
      </c>
      <c r="O21" s="39">
        <f t="shared" si="6"/>
        <v>36.94857600000001</v>
      </c>
    </row>
    <row r="22" spans="1:15" x14ac:dyDescent="0.3">
      <c r="A22" s="41"/>
      <c r="B22" s="20">
        <v>0.77083333333333337</v>
      </c>
      <c r="C22" s="21">
        <v>38.9</v>
      </c>
      <c r="D22" s="33">
        <v>32.6</v>
      </c>
      <c r="E22" s="7">
        <v>26</v>
      </c>
      <c r="F22" s="11">
        <f t="shared" si="0"/>
        <v>6.2999999999999972</v>
      </c>
      <c r="G22" s="23">
        <f t="shared" si="1"/>
        <v>6.6000000000000014</v>
      </c>
      <c r="H22" s="24">
        <f t="shared" si="2"/>
        <v>48.837209302325562</v>
      </c>
      <c r="I22" s="25">
        <v>3149</v>
      </c>
      <c r="J22" s="26">
        <f t="shared" si="3"/>
        <v>6.2999999999999972</v>
      </c>
      <c r="K22" s="21">
        <f t="shared" si="4"/>
        <v>30.353210999999984</v>
      </c>
      <c r="L22" s="38">
        <v>1.75</v>
      </c>
      <c r="M22" s="30">
        <v>5</v>
      </c>
      <c r="N22" s="28">
        <f t="shared" si="5"/>
        <v>5.0706421999999964</v>
      </c>
      <c r="O22" s="39">
        <f t="shared" si="6"/>
        <v>37.173853199999982</v>
      </c>
    </row>
    <row r="23" spans="1:15" x14ac:dyDescent="0.3">
      <c r="A23" s="41"/>
      <c r="B23" s="20">
        <v>0.85416666666666663</v>
      </c>
      <c r="C23" s="21">
        <v>38.200000000000003</v>
      </c>
      <c r="D23" s="33">
        <v>32.299999999999997</v>
      </c>
      <c r="E23" s="7">
        <v>26</v>
      </c>
      <c r="F23" s="11">
        <f t="shared" si="0"/>
        <v>5.9000000000000057</v>
      </c>
      <c r="G23" s="23">
        <f t="shared" si="1"/>
        <v>6.2999999999999972</v>
      </c>
      <c r="H23" s="24">
        <f t="shared" si="2"/>
        <v>48.360655737704953</v>
      </c>
      <c r="I23" s="25">
        <v>3072</v>
      </c>
      <c r="J23" s="26">
        <f t="shared" si="3"/>
        <v>5.9000000000000057</v>
      </c>
      <c r="K23" s="21">
        <f t="shared" si="4"/>
        <v>27.730944000000022</v>
      </c>
      <c r="L23" s="38">
        <v>1.75</v>
      </c>
      <c r="M23" s="30">
        <v>5</v>
      </c>
      <c r="N23" s="28">
        <f t="shared" si="5"/>
        <v>4.5461888000000048</v>
      </c>
      <c r="O23" s="39">
        <f t="shared" si="6"/>
        <v>34.027132800000025</v>
      </c>
    </row>
    <row r="24" spans="1:15" x14ac:dyDescent="0.3">
      <c r="A24" s="41"/>
      <c r="B24" s="20">
        <v>0.9375</v>
      </c>
      <c r="C24" s="21">
        <v>38.200000000000003</v>
      </c>
      <c r="D24" s="33">
        <v>32.1</v>
      </c>
      <c r="E24" s="7">
        <v>26</v>
      </c>
      <c r="F24" s="11">
        <f t="shared" si="0"/>
        <v>6.1000000000000014</v>
      </c>
      <c r="G24" s="23">
        <f t="shared" si="1"/>
        <v>6.1000000000000014</v>
      </c>
      <c r="H24" s="24">
        <f t="shared" si="2"/>
        <v>50</v>
      </c>
      <c r="I24" s="25">
        <v>3152</v>
      </c>
      <c r="J24" s="26">
        <f t="shared" si="3"/>
        <v>6.1000000000000014</v>
      </c>
      <c r="K24" s="21">
        <f t="shared" si="4"/>
        <v>29.417616000000002</v>
      </c>
      <c r="L24" s="38">
        <v>1.75</v>
      </c>
      <c r="M24" s="30">
        <v>5</v>
      </c>
      <c r="N24" s="28">
        <f t="shared" si="5"/>
        <v>4.8835232000000008</v>
      </c>
      <c r="O24" s="39">
        <f t="shared" si="6"/>
        <v>36.051139200000001</v>
      </c>
    </row>
    <row r="25" spans="1:15" x14ac:dyDescent="0.3">
      <c r="A25" s="41"/>
      <c r="B25" s="20">
        <v>2.0833333333333332E-2</v>
      </c>
      <c r="C25" s="21">
        <v>37.799999999999997</v>
      </c>
      <c r="D25" s="33">
        <v>31.7</v>
      </c>
      <c r="E25" s="7">
        <v>26</v>
      </c>
      <c r="F25" s="11">
        <f t="shared" si="0"/>
        <v>6.0999999999999979</v>
      </c>
      <c r="G25" s="23">
        <f t="shared" si="1"/>
        <v>5.6999999999999993</v>
      </c>
      <c r="H25" s="24">
        <f t="shared" si="2"/>
        <v>51.694915254237287</v>
      </c>
      <c r="I25" s="25">
        <v>3188</v>
      </c>
      <c r="J25" s="26">
        <f t="shared" si="3"/>
        <v>6.0999999999999979</v>
      </c>
      <c r="K25" s="21">
        <f t="shared" si="4"/>
        <v>29.753603999999985</v>
      </c>
      <c r="L25" s="38">
        <v>1.75</v>
      </c>
      <c r="M25" s="30">
        <v>5</v>
      </c>
      <c r="N25" s="28">
        <f t="shared" si="5"/>
        <v>4.9507207999999974</v>
      </c>
      <c r="O25" s="39">
        <f t="shared" si="6"/>
        <v>36.454324799999981</v>
      </c>
    </row>
    <row r="26" spans="1:15" x14ac:dyDescent="0.3">
      <c r="A26" s="41"/>
      <c r="B26" s="20">
        <v>0.10416666666666667</v>
      </c>
      <c r="C26" s="21">
        <v>38.799999999999997</v>
      </c>
      <c r="D26" s="33">
        <v>32.799999999999997</v>
      </c>
      <c r="E26" s="7">
        <v>26</v>
      </c>
      <c r="F26" s="11">
        <f t="shared" si="0"/>
        <v>6</v>
      </c>
      <c r="G26" s="23">
        <f t="shared" si="1"/>
        <v>6.7999999999999972</v>
      </c>
      <c r="H26" s="24">
        <f t="shared" si="2"/>
        <v>46.875000000000014</v>
      </c>
      <c r="I26" s="25">
        <v>3311</v>
      </c>
      <c r="J26" s="26">
        <f t="shared" si="3"/>
        <v>6</v>
      </c>
      <c r="K26" s="21">
        <f t="shared" si="4"/>
        <v>30.39498</v>
      </c>
      <c r="L26" s="38">
        <v>1.75</v>
      </c>
      <c r="M26" s="30">
        <v>5</v>
      </c>
      <c r="N26" s="28">
        <f t="shared" si="5"/>
        <v>5.0789960000000001</v>
      </c>
      <c r="O26" s="39">
        <f t="shared" si="6"/>
        <v>37.223976000000008</v>
      </c>
    </row>
    <row r="27" spans="1:15" x14ac:dyDescent="0.3">
      <c r="A27" s="41"/>
      <c r="B27" s="20">
        <v>0.1875</v>
      </c>
      <c r="C27" s="21">
        <v>38.299999999999997</v>
      </c>
      <c r="D27" s="33">
        <v>32</v>
      </c>
      <c r="E27" s="7">
        <v>26</v>
      </c>
      <c r="F27" s="11">
        <f t="shared" si="0"/>
        <v>6.2999999999999972</v>
      </c>
      <c r="G27" s="23">
        <f t="shared" si="1"/>
        <v>6</v>
      </c>
      <c r="H27" s="24">
        <f t="shared" si="2"/>
        <v>51.219512195121943</v>
      </c>
      <c r="I27" s="25">
        <v>3142</v>
      </c>
      <c r="J27" s="26">
        <f t="shared" si="3"/>
        <v>6.2999999999999972</v>
      </c>
      <c r="K27" s="21">
        <f t="shared" si="4"/>
        <v>30.285737999999984</v>
      </c>
      <c r="L27" s="38">
        <v>1.75</v>
      </c>
      <c r="M27" s="30">
        <v>5</v>
      </c>
      <c r="N27" s="28">
        <f t="shared" si="5"/>
        <v>5.0571475999999969</v>
      </c>
      <c r="O27" s="39">
        <f t="shared" si="6"/>
        <v>37.092885599999974</v>
      </c>
    </row>
    <row r="28" spans="1:15" s="3" customFormat="1" x14ac:dyDescent="0.3">
      <c r="A28" s="34"/>
      <c r="B28" s="34"/>
      <c r="C28" s="34"/>
      <c r="D28" s="34"/>
      <c r="E28" s="34"/>
      <c r="F28" s="34"/>
      <c r="G28" s="34" t="s">
        <v>8</v>
      </c>
      <c r="H28" s="34">
        <f>AVERAGE(H16:H27)</f>
        <v>49.239602066276518</v>
      </c>
      <c r="I28" s="34"/>
      <c r="J28" s="34"/>
      <c r="K28" s="34">
        <f>AVERAGE(K16:K27)</f>
        <v>30.10042949999999</v>
      </c>
      <c r="L28" s="34"/>
      <c r="M28" s="34"/>
      <c r="N28" s="34">
        <f>AVERAGE(N16:N27)</f>
        <v>5.020085899999998</v>
      </c>
      <c r="O28" s="34">
        <f>AVERAGE(O16:O27)</f>
        <v>36.870515399999995</v>
      </c>
    </row>
    <row r="29" spans="1:15" x14ac:dyDescent="0.3">
      <c r="A29" s="19">
        <v>44564</v>
      </c>
      <c r="B29" s="20">
        <v>0.27083333333333331</v>
      </c>
      <c r="C29" s="21">
        <v>39.1</v>
      </c>
      <c r="D29" s="33">
        <v>32</v>
      </c>
      <c r="E29" s="7">
        <v>26</v>
      </c>
      <c r="F29" s="11">
        <f t="shared" si="0"/>
        <v>7.1000000000000014</v>
      </c>
      <c r="G29" s="23">
        <f t="shared" si="1"/>
        <v>6</v>
      </c>
      <c r="H29" s="24">
        <f t="shared" si="2"/>
        <v>54.198473282442748</v>
      </c>
      <c r="I29" s="25">
        <v>3241</v>
      </c>
      <c r="J29" s="26">
        <f t="shared" si="3"/>
        <v>7.1000000000000014</v>
      </c>
      <c r="K29" s="21">
        <f t="shared" si="4"/>
        <v>35.206983000000008</v>
      </c>
      <c r="L29" s="38">
        <v>1.75</v>
      </c>
      <c r="M29" s="30">
        <v>5</v>
      </c>
      <c r="N29" s="28">
        <f t="shared" si="5"/>
        <v>6.0413966000000014</v>
      </c>
      <c r="O29" s="39">
        <f t="shared" si="6"/>
        <v>42.998379600000007</v>
      </c>
    </row>
    <row r="30" spans="1:15" x14ac:dyDescent="0.3">
      <c r="A30" s="19"/>
      <c r="B30" s="20">
        <v>0.35416666666666669</v>
      </c>
      <c r="C30" s="21">
        <v>39.6</v>
      </c>
      <c r="D30" s="33">
        <v>32</v>
      </c>
      <c r="E30" s="7">
        <v>26</v>
      </c>
      <c r="F30" s="11">
        <f t="shared" si="0"/>
        <v>7.6000000000000014</v>
      </c>
      <c r="G30" s="23">
        <f t="shared" si="1"/>
        <v>6</v>
      </c>
      <c r="H30" s="24">
        <f t="shared" si="2"/>
        <v>55.882352941176471</v>
      </c>
      <c r="I30" s="25">
        <v>3141</v>
      </c>
      <c r="J30" s="26">
        <f t="shared" si="3"/>
        <v>7.6000000000000014</v>
      </c>
      <c r="K30" s="21">
        <f t="shared" si="4"/>
        <v>36.523548000000005</v>
      </c>
      <c r="L30" s="38">
        <v>1.75</v>
      </c>
      <c r="M30" s="30">
        <v>5</v>
      </c>
      <c r="N30" s="28">
        <f t="shared" si="5"/>
        <v>6.3047096000000007</v>
      </c>
      <c r="O30" s="39">
        <f t="shared" si="6"/>
        <v>44.578257600000008</v>
      </c>
    </row>
    <row r="31" spans="1:15" x14ac:dyDescent="0.3">
      <c r="A31" s="19"/>
      <c r="B31" s="20">
        <v>0.4375</v>
      </c>
      <c r="C31" s="21">
        <v>40.6</v>
      </c>
      <c r="D31" s="33">
        <v>33</v>
      </c>
      <c r="E31" s="7">
        <v>26</v>
      </c>
      <c r="F31" s="11">
        <f t="shared" si="0"/>
        <v>7.6000000000000014</v>
      </c>
      <c r="G31" s="23">
        <f t="shared" si="1"/>
        <v>7</v>
      </c>
      <c r="H31" s="24">
        <f t="shared" si="2"/>
        <v>52.054794520547951</v>
      </c>
      <c r="I31" s="25">
        <v>3151</v>
      </c>
      <c r="J31" s="26">
        <f t="shared" si="3"/>
        <v>7.6000000000000014</v>
      </c>
      <c r="K31" s="21">
        <f t="shared" si="4"/>
        <v>36.639828000000001</v>
      </c>
      <c r="L31" s="38">
        <v>1.75</v>
      </c>
      <c r="M31" s="30">
        <v>5</v>
      </c>
      <c r="N31" s="28">
        <f t="shared" si="5"/>
        <v>6.3279656000000006</v>
      </c>
      <c r="O31" s="39">
        <f t="shared" si="6"/>
        <v>44.7177936</v>
      </c>
    </row>
    <row r="32" spans="1:15" x14ac:dyDescent="0.3">
      <c r="A32" s="19"/>
      <c r="B32" s="20">
        <v>0.52083333333333337</v>
      </c>
      <c r="C32" s="21">
        <v>40.1</v>
      </c>
      <c r="D32" s="33">
        <v>33</v>
      </c>
      <c r="E32" s="7">
        <v>26</v>
      </c>
      <c r="F32" s="11">
        <f t="shared" si="0"/>
        <v>7.1000000000000014</v>
      </c>
      <c r="G32" s="23">
        <f t="shared" si="1"/>
        <v>7</v>
      </c>
      <c r="H32" s="24">
        <f t="shared" si="2"/>
        <v>50.354609929078023</v>
      </c>
      <c r="I32" s="25">
        <v>3214</v>
      </c>
      <c r="J32" s="26">
        <f t="shared" si="3"/>
        <v>7.1000000000000014</v>
      </c>
      <c r="K32" s="21">
        <f t="shared" si="4"/>
        <v>34.913682000000009</v>
      </c>
      <c r="L32" s="38">
        <v>1.75</v>
      </c>
      <c r="M32" s="30">
        <v>5</v>
      </c>
      <c r="N32" s="28">
        <f t="shared" si="5"/>
        <v>5.9827364000000021</v>
      </c>
      <c r="O32" s="39">
        <f t="shared" si="6"/>
        <v>42.646418400000009</v>
      </c>
    </row>
    <row r="33" spans="1:15" x14ac:dyDescent="0.3">
      <c r="A33" s="19"/>
      <c r="B33" s="20">
        <v>0.60416666666666663</v>
      </c>
      <c r="C33" s="21">
        <v>40.700000000000003</v>
      </c>
      <c r="D33" s="33">
        <v>33.799999999999997</v>
      </c>
      <c r="E33" s="7">
        <v>26</v>
      </c>
      <c r="F33" s="11">
        <f t="shared" si="0"/>
        <v>6.9000000000000057</v>
      </c>
      <c r="G33" s="23">
        <f t="shared" si="1"/>
        <v>7.7999999999999972</v>
      </c>
      <c r="H33" s="24">
        <f t="shared" si="2"/>
        <v>46.93877551020411</v>
      </c>
      <c r="I33" s="25">
        <v>3187</v>
      </c>
      <c r="J33" s="26">
        <f t="shared" si="3"/>
        <v>6.9000000000000057</v>
      </c>
      <c r="K33" s="21">
        <f t="shared" si="4"/>
        <v>33.645159000000028</v>
      </c>
      <c r="L33" s="38">
        <v>1.75</v>
      </c>
      <c r="M33" s="30">
        <v>5</v>
      </c>
      <c r="N33" s="28">
        <f t="shared" si="5"/>
        <v>5.7290318000000058</v>
      </c>
      <c r="O33" s="39">
        <f t="shared" si="6"/>
        <v>41.124190800000036</v>
      </c>
    </row>
    <row r="34" spans="1:15" x14ac:dyDescent="0.3">
      <c r="A34" s="19"/>
      <c r="B34" s="20">
        <v>0.6875</v>
      </c>
      <c r="C34" s="21">
        <v>40.799999999999997</v>
      </c>
      <c r="D34" s="33">
        <v>33.700000000000003</v>
      </c>
      <c r="E34" s="7">
        <v>26</v>
      </c>
      <c r="F34" s="11">
        <f t="shared" si="0"/>
        <v>7.0999999999999943</v>
      </c>
      <c r="G34" s="23">
        <f t="shared" si="1"/>
        <v>7.7000000000000028</v>
      </c>
      <c r="H34" s="24">
        <f t="shared" si="2"/>
        <v>47.972972972972947</v>
      </c>
      <c r="I34" s="25">
        <v>3139</v>
      </c>
      <c r="J34" s="26">
        <f t="shared" si="3"/>
        <v>7.0999999999999943</v>
      </c>
      <c r="K34" s="21">
        <f t="shared" si="4"/>
        <v>34.09895699999997</v>
      </c>
      <c r="L34" s="38">
        <v>1.75</v>
      </c>
      <c r="M34" s="30">
        <v>5</v>
      </c>
      <c r="N34" s="28">
        <f t="shared" si="5"/>
        <v>5.8197913999999944</v>
      </c>
      <c r="O34" s="39">
        <f t="shared" si="6"/>
        <v>41.668748399999963</v>
      </c>
    </row>
    <row r="35" spans="1:15" x14ac:dyDescent="0.3">
      <c r="A35" s="19"/>
      <c r="B35" s="20">
        <v>0.77083333333333337</v>
      </c>
      <c r="C35" s="21">
        <v>40.5</v>
      </c>
      <c r="D35" s="33">
        <v>33.6</v>
      </c>
      <c r="E35" s="7">
        <v>26</v>
      </c>
      <c r="F35" s="11">
        <f t="shared" si="0"/>
        <v>6.8999999999999986</v>
      </c>
      <c r="G35" s="23">
        <f t="shared" si="1"/>
        <v>7.6000000000000014</v>
      </c>
      <c r="H35" s="24">
        <f t="shared" si="2"/>
        <v>47.586206896551715</v>
      </c>
      <c r="I35" s="25">
        <v>3165</v>
      </c>
      <c r="J35" s="26">
        <f t="shared" si="3"/>
        <v>6.8999999999999986</v>
      </c>
      <c r="K35" s="21">
        <f t="shared" si="4"/>
        <v>33.412904999999988</v>
      </c>
      <c r="L35" s="38">
        <v>1.75</v>
      </c>
      <c r="M35" s="30">
        <v>5</v>
      </c>
      <c r="N35" s="28">
        <f t="shared" si="5"/>
        <v>5.6825809999999972</v>
      </c>
      <c r="O35" s="39">
        <f t="shared" si="6"/>
        <v>40.845485999999987</v>
      </c>
    </row>
    <row r="36" spans="1:15" x14ac:dyDescent="0.3">
      <c r="A36" s="19"/>
      <c r="B36" s="20">
        <v>0.85416666666666663</v>
      </c>
      <c r="C36" s="21">
        <v>40.799999999999997</v>
      </c>
      <c r="D36" s="33">
        <v>33.799999999999997</v>
      </c>
      <c r="E36" s="7">
        <v>26</v>
      </c>
      <c r="F36" s="11">
        <f t="shared" si="0"/>
        <v>7</v>
      </c>
      <c r="G36" s="23">
        <f t="shared" si="1"/>
        <v>7.7999999999999972</v>
      </c>
      <c r="H36" s="24">
        <f t="shared" si="2"/>
        <v>47.297297297297305</v>
      </c>
      <c r="I36" s="25">
        <v>3172</v>
      </c>
      <c r="J36" s="26">
        <f t="shared" si="3"/>
        <v>7</v>
      </c>
      <c r="K36" s="21">
        <f t="shared" si="4"/>
        <v>33.972119999999997</v>
      </c>
      <c r="L36" s="38">
        <v>1.75</v>
      </c>
      <c r="M36" s="30">
        <v>5</v>
      </c>
      <c r="N36" s="28">
        <f t="shared" si="5"/>
        <v>5.7944239999999994</v>
      </c>
      <c r="O36" s="39">
        <f t="shared" si="6"/>
        <v>41.516543999999996</v>
      </c>
    </row>
    <row r="37" spans="1:15" x14ac:dyDescent="0.3">
      <c r="A37" s="19"/>
      <c r="B37" s="20">
        <v>0.9375</v>
      </c>
      <c r="C37" s="21">
        <v>40.799999999999997</v>
      </c>
      <c r="D37" s="33">
        <v>33.700000000000003</v>
      </c>
      <c r="E37" s="7">
        <v>26</v>
      </c>
      <c r="F37" s="11">
        <f t="shared" si="0"/>
        <v>7.0999999999999943</v>
      </c>
      <c r="G37" s="23">
        <f t="shared" si="1"/>
        <v>7.7000000000000028</v>
      </c>
      <c r="H37" s="24">
        <f t="shared" si="2"/>
        <v>47.972972972972947</v>
      </c>
      <c r="I37" s="25">
        <v>3118</v>
      </c>
      <c r="J37" s="26">
        <f t="shared" si="3"/>
        <v>7.0999999999999943</v>
      </c>
      <c r="K37" s="21">
        <f t="shared" si="4"/>
        <v>33.870833999999967</v>
      </c>
      <c r="L37" s="38">
        <v>1.75</v>
      </c>
      <c r="M37" s="30">
        <v>5</v>
      </c>
      <c r="N37" s="28">
        <f t="shared" si="5"/>
        <v>5.7741667999999935</v>
      </c>
      <c r="O37" s="39">
        <f t="shared" si="6"/>
        <v>41.395000799999963</v>
      </c>
    </row>
    <row r="38" spans="1:15" x14ac:dyDescent="0.3">
      <c r="A38" s="19"/>
      <c r="B38" s="20">
        <v>2.0833333333333332E-2</v>
      </c>
      <c r="C38" s="21">
        <v>40.4</v>
      </c>
      <c r="D38" s="33">
        <v>33.5</v>
      </c>
      <c r="E38" s="7">
        <v>26</v>
      </c>
      <c r="F38" s="11">
        <f t="shared" si="0"/>
        <v>6.8999999999999986</v>
      </c>
      <c r="G38" s="23">
        <f t="shared" si="1"/>
        <v>7.5</v>
      </c>
      <c r="H38" s="24">
        <f t="shared" si="2"/>
        <v>47.916666666666664</v>
      </c>
      <c r="I38" s="25">
        <v>3147</v>
      </c>
      <c r="J38" s="26">
        <f t="shared" si="3"/>
        <v>6.8999999999999986</v>
      </c>
      <c r="K38" s="21">
        <f t="shared" si="4"/>
        <v>33.222878999999992</v>
      </c>
      <c r="L38" s="38">
        <v>1.75</v>
      </c>
      <c r="M38" s="30">
        <v>5</v>
      </c>
      <c r="N38" s="28">
        <f t="shared" si="5"/>
        <v>5.6445757999999984</v>
      </c>
      <c r="O38" s="39">
        <f t="shared" si="6"/>
        <v>40.61745479999999</v>
      </c>
    </row>
    <row r="39" spans="1:15" x14ac:dyDescent="0.3">
      <c r="A39" s="19"/>
      <c r="B39" s="20">
        <v>0.10416666666666667</v>
      </c>
      <c r="C39" s="21">
        <v>40.299999999999997</v>
      </c>
      <c r="D39" s="33">
        <v>33.5</v>
      </c>
      <c r="E39" s="7">
        <v>26</v>
      </c>
      <c r="F39" s="11">
        <f t="shared" si="0"/>
        <v>6.7999999999999972</v>
      </c>
      <c r="G39" s="23">
        <f t="shared" si="1"/>
        <v>7.5</v>
      </c>
      <c r="H39" s="24">
        <f t="shared" si="2"/>
        <v>47.552447552447539</v>
      </c>
      <c r="I39" s="25">
        <v>3144</v>
      </c>
      <c r="J39" s="26">
        <f t="shared" si="3"/>
        <v>6.7999999999999972</v>
      </c>
      <c r="K39" s="21">
        <f t="shared" si="4"/>
        <v>32.710175999999983</v>
      </c>
      <c r="L39" s="38">
        <v>1.75</v>
      </c>
      <c r="M39" s="30">
        <v>5</v>
      </c>
      <c r="N39" s="28">
        <f t="shared" si="5"/>
        <v>5.5420351999999964</v>
      </c>
      <c r="O39" s="39">
        <f t="shared" si="6"/>
        <v>40.002211199999977</v>
      </c>
    </row>
    <row r="40" spans="1:15" x14ac:dyDescent="0.3">
      <c r="A40" s="19"/>
      <c r="B40" s="20">
        <v>0.1875</v>
      </c>
      <c r="C40" s="21">
        <v>39.799999999999997</v>
      </c>
      <c r="D40" s="33">
        <v>33</v>
      </c>
      <c r="E40" s="7">
        <v>26</v>
      </c>
      <c r="F40" s="11">
        <f t="shared" si="0"/>
        <v>6.7999999999999972</v>
      </c>
      <c r="G40" s="23">
        <f t="shared" si="1"/>
        <v>7</v>
      </c>
      <c r="H40" s="24">
        <f t="shared" si="2"/>
        <v>49.275362318840571</v>
      </c>
      <c r="I40" s="25">
        <v>3110</v>
      </c>
      <c r="J40" s="26">
        <f t="shared" si="3"/>
        <v>6.7999999999999972</v>
      </c>
      <c r="K40" s="21">
        <f t="shared" si="4"/>
        <v>32.356439999999985</v>
      </c>
      <c r="L40" s="38">
        <v>1.75</v>
      </c>
      <c r="M40" s="30">
        <v>5</v>
      </c>
      <c r="N40" s="28">
        <f t="shared" si="5"/>
        <v>5.4712879999999968</v>
      </c>
      <c r="O40" s="39">
        <f t="shared" si="6"/>
        <v>39.577727999999979</v>
      </c>
    </row>
    <row r="41" spans="1:15" s="3" customFormat="1" x14ac:dyDescent="0.3">
      <c r="A41" s="34"/>
      <c r="B41" s="34"/>
      <c r="C41" s="34"/>
      <c r="D41" s="34"/>
      <c r="E41" s="34"/>
      <c r="F41" s="34"/>
      <c r="G41" s="34" t="s">
        <v>8</v>
      </c>
      <c r="H41" s="34">
        <f>AVERAGE(H29:H40)</f>
        <v>49.583577738433263</v>
      </c>
      <c r="I41" s="34"/>
      <c r="J41" s="34"/>
      <c r="K41" s="34">
        <f>AVERAGE(K29:K40)</f>
        <v>34.21445924999999</v>
      </c>
      <c r="L41" s="34"/>
      <c r="M41" s="34"/>
      <c r="N41" s="34">
        <f>AVERAGE(N29:N40)</f>
        <v>5.84289185</v>
      </c>
      <c r="O41" s="34">
        <f>AVERAGE(O29:O40)</f>
        <v>41.807351099999998</v>
      </c>
    </row>
    <row r="42" spans="1:15" x14ac:dyDescent="0.3">
      <c r="A42" s="40">
        <v>44565</v>
      </c>
      <c r="B42" s="20">
        <v>0.27083333333333331</v>
      </c>
      <c r="C42" s="21">
        <v>39.9</v>
      </c>
      <c r="D42" s="33">
        <v>32.9</v>
      </c>
      <c r="E42" s="7">
        <v>26</v>
      </c>
      <c r="F42" s="11">
        <f t="shared" si="0"/>
        <v>7</v>
      </c>
      <c r="G42" s="23">
        <f t="shared" si="1"/>
        <v>6.8999999999999986</v>
      </c>
      <c r="H42" s="24">
        <f t="shared" si="2"/>
        <v>50.359712230215834</v>
      </c>
      <c r="I42" s="25">
        <v>3166</v>
      </c>
      <c r="J42" s="26">
        <f t="shared" si="3"/>
        <v>7</v>
      </c>
      <c r="K42" s="21">
        <f t="shared" si="4"/>
        <v>33.907859999999992</v>
      </c>
      <c r="L42" s="38">
        <v>1.75</v>
      </c>
      <c r="M42" s="30">
        <v>5</v>
      </c>
      <c r="N42" s="28">
        <f t="shared" si="5"/>
        <v>5.7815719999999988</v>
      </c>
      <c r="O42" s="39">
        <f t="shared" si="6"/>
        <v>41.439431999999989</v>
      </c>
    </row>
    <row r="43" spans="1:15" x14ac:dyDescent="0.3">
      <c r="A43" s="41"/>
      <c r="B43" s="20">
        <v>0.35416666666666669</v>
      </c>
      <c r="C43" s="21">
        <v>39.700000000000003</v>
      </c>
      <c r="D43" s="33">
        <v>33</v>
      </c>
      <c r="E43" s="7">
        <v>26</v>
      </c>
      <c r="F43" s="11">
        <f t="shared" si="0"/>
        <v>6.7000000000000028</v>
      </c>
      <c r="G43" s="23">
        <f t="shared" si="1"/>
        <v>7</v>
      </c>
      <c r="H43" s="24">
        <f t="shared" si="2"/>
        <v>48.905109489051107</v>
      </c>
      <c r="I43" s="25">
        <v>3135</v>
      </c>
      <c r="J43" s="26">
        <f t="shared" si="3"/>
        <v>6.7000000000000028</v>
      </c>
      <c r="K43" s="21">
        <f t="shared" si="4"/>
        <v>32.136885000000014</v>
      </c>
      <c r="L43" s="38">
        <v>1.75</v>
      </c>
      <c r="M43" s="30">
        <v>5</v>
      </c>
      <c r="N43" s="28">
        <f t="shared" si="5"/>
        <v>5.4273770000000026</v>
      </c>
      <c r="O43" s="39">
        <f t="shared" si="6"/>
        <v>39.314262000000014</v>
      </c>
    </row>
    <row r="44" spans="1:15" x14ac:dyDescent="0.3">
      <c r="A44" s="41"/>
      <c r="B44" s="20">
        <v>0.4375</v>
      </c>
      <c r="C44" s="21">
        <v>40.799999999999997</v>
      </c>
      <c r="D44" s="33">
        <v>33.6</v>
      </c>
      <c r="E44" s="7">
        <v>26</v>
      </c>
      <c r="F44" s="11">
        <f t="shared" si="0"/>
        <v>7.1999999999999957</v>
      </c>
      <c r="G44" s="23">
        <f t="shared" si="1"/>
        <v>7.6000000000000014</v>
      </c>
      <c r="H44" s="24">
        <f t="shared" si="2"/>
        <v>48.648648648648631</v>
      </c>
      <c r="I44" s="25">
        <v>3114</v>
      </c>
      <c r="J44" s="26">
        <f t="shared" si="3"/>
        <v>7.1999999999999957</v>
      </c>
      <c r="K44" s="21">
        <f t="shared" si="4"/>
        <v>34.303823999999977</v>
      </c>
      <c r="L44" s="38">
        <v>1.75</v>
      </c>
      <c r="M44" s="30">
        <v>5</v>
      </c>
      <c r="N44" s="28">
        <f t="shared" si="5"/>
        <v>5.8607647999999957</v>
      </c>
      <c r="O44" s="39">
        <f t="shared" si="6"/>
        <v>41.914588799999976</v>
      </c>
    </row>
    <row r="45" spans="1:15" x14ac:dyDescent="0.3">
      <c r="A45" s="41"/>
      <c r="B45" s="20">
        <v>0.52083333333333337</v>
      </c>
      <c r="C45" s="21">
        <v>41.4</v>
      </c>
      <c r="D45" s="33">
        <v>34.299999999999997</v>
      </c>
      <c r="E45" s="7">
        <v>26</v>
      </c>
      <c r="F45" s="11">
        <f t="shared" si="0"/>
        <v>7.1000000000000014</v>
      </c>
      <c r="G45" s="23">
        <f t="shared" si="1"/>
        <v>8.2999999999999972</v>
      </c>
      <c r="H45" s="24">
        <f t="shared" si="2"/>
        <v>46.103896103896119</v>
      </c>
      <c r="I45" s="25">
        <v>3128</v>
      </c>
      <c r="J45" s="26">
        <f t="shared" si="3"/>
        <v>7.1000000000000014</v>
      </c>
      <c r="K45" s="21">
        <f t="shared" si="4"/>
        <v>33.979464</v>
      </c>
      <c r="L45" s="38">
        <v>1.75</v>
      </c>
      <c r="M45" s="30">
        <v>5</v>
      </c>
      <c r="N45" s="28">
        <f t="shared" si="5"/>
        <v>5.7958927999999998</v>
      </c>
      <c r="O45" s="39">
        <f t="shared" si="6"/>
        <v>41.525356799999997</v>
      </c>
    </row>
    <row r="46" spans="1:15" x14ac:dyDescent="0.3">
      <c r="A46" s="41"/>
      <c r="B46" s="20">
        <v>0.60416666666666663</v>
      </c>
      <c r="C46" s="21">
        <v>41.1</v>
      </c>
      <c r="D46" s="33">
        <v>34.1</v>
      </c>
      <c r="E46" s="7">
        <v>26</v>
      </c>
      <c r="F46" s="11">
        <f t="shared" si="0"/>
        <v>7</v>
      </c>
      <c r="G46" s="23">
        <f t="shared" si="1"/>
        <v>8.1000000000000014</v>
      </c>
      <c r="H46" s="24">
        <f t="shared" si="2"/>
        <v>46.357615894039732</v>
      </c>
      <c r="I46" s="25">
        <v>3141</v>
      </c>
      <c r="J46" s="26">
        <f t="shared" si="3"/>
        <v>7</v>
      </c>
      <c r="K46" s="21">
        <f t="shared" si="4"/>
        <v>33.64011</v>
      </c>
      <c r="L46" s="38">
        <v>1.75</v>
      </c>
      <c r="M46" s="30">
        <v>5</v>
      </c>
      <c r="N46" s="28">
        <f t="shared" si="5"/>
        <v>5.7280220000000002</v>
      </c>
      <c r="O46" s="39">
        <f t="shared" si="6"/>
        <v>41.118132000000003</v>
      </c>
    </row>
    <row r="47" spans="1:15" x14ac:dyDescent="0.3">
      <c r="A47" s="41"/>
      <c r="B47" s="20">
        <v>0.6875</v>
      </c>
      <c r="C47" s="21">
        <v>41.2</v>
      </c>
      <c r="D47" s="33">
        <v>34.1</v>
      </c>
      <c r="E47" s="7">
        <v>26</v>
      </c>
      <c r="F47" s="11">
        <f t="shared" si="0"/>
        <v>7.1000000000000014</v>
      </c>
      <c r="G47" s="23">
        <f t="shared" si="1"/>
        <v>8.1000000000000014</v>
      </c>
      <c r="H47" s="24">
        <f t="shared" si="2"/>
        <v>46.710526315789473</v>
      </c>
      <c r="I47" s="25">
        <v>3141</v>
      </c>
      <c r="J47" s="26">
        <f t="shared" si="3"/>
        <v>7.1000000000000014</v>
      </c>
      <c r="K47" s="21">
        <f t="shared" si="4"/>
        <v>34.120683000000007</v>
      </c>
      <c r="L47" s="38">
        <v>1.75</v>
      </c>
      <c r="M47" s="30">
        <v>5</v>
      </c>
      <c r="N47" s="28">
        <f t="shared" si="5"/>
        <v>5.824136600000001</v>
      </c>
      <c r="O47" s="39">
        <f t="shared" si="6"/>
        <v>41.69481960000001</v>
      </c>
    </row>
    <row r="48" spans="1:15" x14ac:dyDescent="0.3">
      <c r="A48" s="41"/>
      <c r="B48" s="20">
        <v>0.77083333333333337</v>
      </c>
      <c r="C48" s="21">
        <v>41.2</v>
      </c>
      <c r="D48" s="33">
        <v>34.1</v>
      </c>
      <c r="E48" s="7">
        <v>26</v>
      </c>
      <c r="F48" s="11">
        <f t="shared" si="0"/>
        <v>7.1000000000000014</v>
      </c>
      <c r="G48" s="23">
        <f t="shared" si="1"/>
        <v>8.1000000000000014</v>
      </c>
      <c r="H48" s="24">
        <f t="shared" si="2"/>
        <v>46.710526315789473</v>
      </c>
      <c r="I48" s="25">
        <v>3142</v>
      </c>
      <c r="J48" s="26">
        <f t="shared" si="3"/>
        <v>7.1000000000000014</v>
      </c>
      <c r="K48" s="21">
        <f t="shared" si="4"/>
        <v>34.131546</v>
      </c>
      <c r="L48" s="38">
        <v>1.75</v>
      </c>
      <c r="M48" s="30">
        <v>5</v>
      </c>
      <c r="N48" s="28">
        <f t="shared" si="5"/>
        <v>5.8263091999999999</v>
      </c>
      <c r="O48" s="39">
        <f t="shared" si="6"/>
        <v>41.707855199999997</v>
      </c>
    </row>
    <row r="49" spans="1:15" x14ac:dyDescent="0.3">
      <c r="A49" s="41"/>
      <c r="B49" s="20">
        <v>0.85416666666666663</v>
      </c>
      <c r="C49" s="21">
        <v>40.200000000000003</v>
      </c>
      <c r="D49" s="33">
        <v>33.200000000000003</v>
      </c>
      <c r="E49" s="7">
        <v>26</v>
      </c>
      <c r="F49" s="11">
        <f t="shared" si="0"/>
        <v>7</v>
      </c>
      <c r="G49" s="23">
        <f t="shared" si="1"/>
        <v>7.2000000000000028</v>
      </c>
      <c r="H49" s="24">
        <f t="shared" si="2"/>
        <v>49.295774647887313</v>
      </c>
      <c r="I49" s="25">
        <v>3081</v>
      </c>
      <c r="J49" s="26">
        <f t="shared" si="3"/>
        <v>7</v>
      </c>
      <c r="K49" s="21">
        <f t="shared" si="4"/>
        <v>32.997509999999998</v>
      </c>
      <c r="L49" s="38">
        <v>1.75</v>
      </c>
      <c r="M49" s="30">
        <v>5</v>
      </c>
      <c r="N49" s="28">
        <f t="shared" si="5"/>
        <v>5.5995019999999993</v>
      </c>
      <c r="O49" s="39">
        <f t="shared" si="6"/>
        <v>40.347011999999999</v>
      </c>
    </row>
    <row r="50" spans="1:15" x14ac:dyDescent="0.3">
      <c r="A50" s="41"/>
      <c r="B50" s="20">
        <v>0.9375</v>
      </c>
      <c r="C50" s="21">
        <v>39.5</v>
      </c>
      <c r="D50" s="33">
        <v>32.6</v>
      </c>
      <c r="E50" s="7">
        <v>26</v>
      </c>
      <c r="F50" s="11">
        <f t="shared" si="0"/>
        <v>6.8999999999999986</v>
      </c>
      <c r="G50" s="23">
        <f t="shared" si="1"/>
        <v>6.6000000000000014</v>
      </c>
      <c r="H50" s="24">
        <f t="shared" si="2"/>
        <v>51.111111111111093</v>
      </c>
      <c r="I50" s="25">
        <v>3137</v>
      </c>
      <c r="J50" s="26">
        <f t="shared" si="3"/>
        <v>6.8999999999999986</v>
      </c>
      <c r="K50" s="21">
        <f t="shared" si="4"/>
        <v>33.117308999999992</v>
      </c>
      <c r="L50" s="38">
        <v>1.75</v>
      </c>
      <c r="M50" s="30">
        <v>5</v>
      </c>
      <c r="N50" s="28">
        <f t="shared" si="5"/>
        <v>5.6234617999999985</v>
      </c>
      <c r="O50" s="39">
        <f t="shared" si="6"/>
        <v>40.490770799999993</v>
      </c>
    </row>
    <row r="51" spans="1:15" x14ac:dyDescent="0.3">
      <c r="A51" s="41"/>
      <c r="B51" s="20">
        <v>2.0833333333333332E-2</v>
      </c>
      <c r="C51" s="21">
        <v>39</v>
      </c>
      <c r="D51" s="33">
        <v>32</v>
      </c>
      <c r="E51" s="7">
        <v>26</v>
      </c>
      <c r="F51" s="11">
        <f t="shared" si="0"/>
        <v>7</v>
      </c>
      <c r="G51" s="23">
        <f t="shared" si="1"/>
        <v>6</v>
      </c>
      <c r="H51" s="24">
        <f t="shared" si="2"/>
        <v>53.846153846153847</v>
      </c>
      <c r="I51" s="25">
        <v>3109</v>
      </c>
      <c r="J51" s="26">
        <f t="shared" si="3"/>
        <v>7</v>
      </c>
      <c r="K51" s="21">
        <f t="shared" si="4"/>
        <v>33.297389999999993</v>
      </c>
      <c r="L51" s="38">
        <v>1.75</v>
      </c>
      <c r="M51" s="30">
        <v>5</v>
      </c>
      <c r="N51" s="28">
        <f t="shared" si="5"/>
        <v>5.6594779999999982</v>
      </c>
      <c r="O51" s="39">
        <f t="shared" si="6"/>
        <v>40.706867999999993</v>
      </c>
    </row>
    <row r="52" spans="1:15" x14ac:dyDescent="0.3">
      <c r="A52" s="41"/>
      <c r="B52" s="20">
        <v>0.10416666666666667</v>
      </c>
      <c r="C52" s="21">
        <v>39</v>
      </c>
      <c r="D52" s="33">
        <v>32.200000000000003</v>
      </c>
      <c r="E52" s="7">
        <v>26</v>
      </c>
      <c r="F52" s="11">
        <f t="shared" si="0"/>
        <v>6.7999999999999972</v>
      </c>
      <c r="G52" s="23">
        <f t="shared" si="1"/>
        <v>6.2000000000000028</v>
      </c>
      <c r="H52" s="24">
        <f t="shared" si="2"/>
        <v>52.307692307692285</v>
      </c>
      <c r="I52" s="25">
        <v>3152</v>
      </c>
      <c r="J52" s="26">
        <f t="shared" si="3"/>
        <v>6.7999999999999972</v>
      </c>
      <c r="K52" s="21">
        <f t="shared" si="4"/>
        <v>32.793407999999978</v>
      </c>
      <c r="L52" s="38">
        <v>1.75</v>
      </c>
      <c r="M52" s="30">
        <v>5</v>
      </c>
      <c r="N52" s="28">
        <f t="shared" si="5"/>
        <v>5.5586815999999954</v>
      </c>
      <c r="O52" s="39">
        <f t="shared" si="6"/>
        <v>40.102089599999971</v>
      </c>
    </row>
    <row r="53" spans="1:15" x14ac:dyDescent="0.3">
      <c r="A53" s="41"/>
      <c r="B53" s="20">
        <v>0.1875</v>
      </c>
      <c r="C53" s="21">
        <v>38.5</v>
      </c>
      <c r="D53" s="33">
        <v>32.1</v>
      </c>
      <c r="E53" s="7">
        <v>26</v>
      </c>
      <c r="F53" s="11">
        <f t="shared" si="0"/>
        <v>6.3999999999999986</v>
      </c>
      <c r="G53" s="23">
        <f t="shared" si="1"/>
        <v>6.1000000000000014</v>
      </c>
      <c r="H53" s="24">
        <f t="shared" si="2"/>
        <v>51.199999999999989</v>
      </c>
      <c r="I53" s="25">
        <v>3214</v>
      </c>
      <c r="J53" s="26">
        <f t="shared" si="3"/>
        <v>6.3999999999999986</v>
      </c>
      <c r="K53" s="21">
        <f t="shared" si="4"/>
        <v>31.471487999999994</v>
      </c>
      <c r="L53" s="38">
        <v>1.75</v>
      </c>
      <c r="M53" s="30">
        <v>5</v>
      </c>
      <c r="N53" s="28">
        <f t="shared" si="5"/>
        <v>5.2942975999999984</v>
      </c>
      <c r="O53" s="39">
        <f t="shared" si="6"/>
        <v>38.515785599999994</v>
      </c>
    </row>
    <row r="54" spans="1:15" s="3" customFormat="1" x14ac:dyDescent="0.3">
      <c r="A54" s="34"/>
      <c r="B54" s="34"/>
      <c r="C54" s="34"/>
      <c r="D54" s="34"/>
      <c r="E54" s="34"/>
      <c r="F54" s="34"/>
      <c r="G54" s="34" t="s">
        <v>8</v>
      </c>
      <c r="H54" s="34">
        <f>AVERAGE(H42:H53)</f>
        <v>49.296397242522914</v>
      </c>
      <c r="I54" s="34"/>
      <c r="J54" s="34"/>
      <c r="K54" s="34">
        <f>AVERAGE(K42:K53)</f>
        <v>33.324789750000001</v>
      </c>
      <c r="L54" s="34"/>
      <c r="M54" s="34"/>
      <c r="N54" s="34">
        <f>AVERAGE(N42:N53)</f>
        <v>5.6649579499999989</v>
      </c>
      <c r="O54" s="34">
        <f>AVERAGE(O42:O53)</f>
        <v>40.739747699999995</v>
      </c>
    </row>
    <row r="55" spans="1:15" x14ac:dyDescent="0.3">
      <c r="A55" s="19">
        <v>44566</v>
      </c>
      <c r="B55" s="20">
        <v>0.27083333333333331</v>
      </c>
      <c r="C55" s="21">
        <v>38.4</v>
      </c>
      <c r="D55" s="33">
        <v>31.8</v>
      </c>
      <c r="E55" s="7">
        <v>26</v>
      </c>
      <c r="F55" s="11">
        <f t="shared" si="0"/>
        <v>6.5999999999999979</v>
      </c>
      <c r="G55" s="23">
        <f t="shared" si="1"/>
        <v>5.8000000000000007</v>
      </c>
      <c r="H55" s="24">
        <f t="shared" si="2"/>
        <v>53.22580645161289</v>
      </c>
      <c r="I55" s="25">
        <v>3214</v>
      </c>
      <c r="J55" s="26">
        <f t="shared" si="3"/>
        <v>6.5999999999999979</v>
      </c>
      <c r="K55" s="21">
        <f t="shared" si="4"/>
        <v>32.454971999999991</v>
      </c>
      <c r="L55" s="38">
        <v>1.75</v>
      </c>
      <c r="M55" s="30">
        <v>5</v>
      </c>
      <c r="N55" s="28">
        <f t="shared" si="5"/>
        <v>5.4909943999999982</v>
      </c>
      <c r="O55" s="39">
        <f t="shared" si="6"/>
        <v>39.695966399999989</v>
      </c>
    </row>
    <row r="56" spans="1:15" x14ac:dyDescent="0.3">
      <c r="A56" s="31"/>
      <c r="B56" s="20">
        <v>0.35416666666666669</v>
      </c>
      <c r="C56" s="21">
        <v>38.4</v>
      </c>
      <c r="D56" s="33">
        <v>31.8</v>
      </c>
      <c r="E56" s="7">
        <v>26</v>
      </c>
      <c r="F56" s="11">
        <f t="shared" si="0"/>
        <v>6.5999999999999979</v>
      </c>
      <c r="G56" s="23">
        <f t="shared" si="1"/>
        <v>5.8000000000000007</v>
      </c>
      <c r="H56" s="24">
        <f t="shared" si="2"/>
        <v>53.22580645161289</v>
      </c>
      <c r="I56" s="25">
        <v>3281</v>
      </c>
      <c r="J56" s="26">
        <f t="shared" si="3"/>
        <v>6.5999999999999979</v>
      </c>
      <c r="K56" s="21">
        <f t="shared" si="4"/>
        <v>33.131537999999985</v>
      </c>
      <c r="L56" s="38">
        <v>1.75</v>
      </c>
      <c r="M56" s="30">
        <v>5</v>
      </c>
      <c r="N56" s="28">
        <f t="shared" si="5"/>
        <v>5.626307599999997</v>
      </c>
      <c r="O56" s="39">
        <f t="shared" si="6"/>
        <v>40.507845599999982</v>
      </c>
    </row>
    <row r="57" spans="1:15" x14ac:dyDescent="0.3">
      <c r="A57" s="31"/>
      <c r="B57" s="20">
        <v>0.4375</v>
      </c>
      <c r="C57" s="21">
        <v>39.6</v>
      </c>
      <c r="D57" s="33">
        <v>32.700000000000003</v>
      </c>
      <c r="E57" s="7">
        <v>26</v>
      </c>
      <c r="F57" s="11">
        <f t="shared" si="0"/>
        <v>6.8999999999999986</v>
      </c>
      <c r="G57" s="23">
        <f t="shared" si="1"/>
        <v>6.7000000000000028</v>
      </c>
      <c r="H57" s="24">
        <f t="shared" si="2"/>
        <v>50.735294117647044</v>
      </c>
      <c r="I57" s="25">
        <v>3097</v>
      </c>
      <c r="J57" s="26">
        <f t="shared" si="3"/>
        <v>6.8999999999999986</v>
      </c>
      <c r="K57" s="21">
        <f t="shared" si="4"/>
        <v>32.695028999999991</v>
      </c>
      <c r="L57" s="38">
        <v>1.75</v>
      </c>
      <c r="M57" s="30">
        <v>5</v>
      </c>
      <c r="N57" s="28">
        <f t="shared" si="5"/>
        <v>5.5390057999999982</v>
      </c>
      <c r="O57" s="39">
        <f t="shared" si="6"/>
        <v>39.984034799999989</v>
      </c>
    </row>
    <row r="58" spans="1:15" x14ac:dyDescent="0.3">
      <c r="A58" s="31"/>
      <c r="B58" s="20">
        <v>0.52083333333333337</v>
      </c>
      <c r="C58" s="21">
        <v>39.299999999999997</v>
      </c>
      <c r="D58" s="33">
        <v>32.5</v>
      </c>
      <c r="E58" s="7">
        <v>26</v>
      </c>
      <c r="F58" s="11">
        <f t="shared" si="0"/>
        <v>6.7999999999999972</v>
      </c>
      <c r="G58" s="23">
        <f t="shared" si="1"/>
        <v>6.5</v>
      </c>
      <c r="H58" s="24">
        <f t="shared" si="2"/>
        <v>51.127819548872168</v>
      </c>
      <c r="I58" s="25">
        <v>3145</v>
      </c>
      <c r="J58" s="26">
        <f t="shared" si="3"/>
        <v>6.7999999999999972</v>
      </c>
      <c r="K58" s="21">
        <f t="shared" si="4"/>
        <v>32.720579999999984</v>
      </c>
      <c r="L58" s="38">
        <v>1.75</v>
      </c>
      <c r="M58" s="30">
        <v>5</v>
      </c>
      <c r="N58" s="28">
        <f t="shared" si="5"/>
        <v>5.5441159999999972</v>
      </c>
      <c r="O58" s="39">
        <f t="shared" si="6"/>
        <v>40.014695999999979</v>
      </c>
    </row>
    <row r="59" spans="1:15" x14ac:dyDescent="0.3">
      <c r="A59" s="31"/>
      <c r="B59" s="20">
        <v>0.60416666666666663</v>
      </c>
      <c r="C59" s="21">
        <v>39.6</v>
      </c>
      <c r="D59" s="33">
        <v>32</v>
      </c>
      <c r="E59" s="7">
        <v>26</v>
      </c>
      <c r="F59" s="11">
        <f t="shared" si="0"/>
        <v>7.6000000000000014</v>
      </c>
      <c r="G59" s="23">
        <f t="shared" si="1"/>
        <v>6</v>
      </c>
      <c r="H59" s="24">
        <f t="shared" si="2"/>
        <v>55.882352941176471</v>
      </c>
      <c r="I59" s="25">
        <v>3161</v>
      </c>
      <c r="J59" s="26">
        <f t="shared" si="3"/>
        <v>7.6000000000000014</v>
      </c>
      <c r="K59" s="21">
        <f t="shared" si="4"/>
        <v>36.756108000000005</v>
      </c>
      <c r="L59" s="38">
        <v>1.75</v>
      </c>
      <c r="M59" s="30">
        <v>5</v>
      </c>
      <c r="N59" s="28">
        <f t="shared" si="5"/>
        <v>6.3512216000000006</v>
      </c>
      <c r="O59" s="39">
        <f t="shared" si="6"/>
        <v>44.857329600000007</v>
      </c>
    </row>
    <row r="60" spans="1:15" x14ac:dyDescent="0.3">
      <c r="A60" s="31"/>
      <c r="B60" s="20">
        <v>0.6875</v>
      </c>
      <c r="C60" s="21">
        <v>39.1</v>
      </c>
      <c r="D60" s="33">
        <v>32</v>
      </c>
      <c r="E60" s="7">
        <v>26</v>
      </c>
      <c r="F60" s="11">
        <f t="shared" si="0"/>
        <v>7.1000000000000014</v>
      </c>
      <c r="G60" s="23">
        <f t="shared" si="1"/>
        <v>6</v>
      </c>
      <c r="H60" s="24">
        <f t="shared" si="2"/>
        <v>54.198473282442748</v>
      </c>
      <c r="I60" s="25">
        <v>3061</v>
      </c>
      <c r="J60" s="26">
        <f t="shared" si="3"/>
        <v>7.1000000000000014</v>
      </c>
      <c r="K60" s="21">
        <f t="shared" si="4"/>
        <v>33.251643000000008</v>
      </c>
      <c r="L60" s="38">
        <v>1.75</v>
      </c>
      <c r="M60" s="30">
        <v>5</v>
      </c>
      <c r="N60" s="28">
        <f t="shared" si="5"/>
        <v>5.6503286000000017</v>
      </c>
      <c r="O60" s="39">
        <f t="shared" si="6"/>
        <v>40.65197160000001</v>
      </c>
    </row>
    <row r="61" spans="1:15" x14ac:dyDescent="0.3">
      <c r="A61" s="31"/>
      <c r="B61" s="20">
        <v>0.77083333333333337</v>
      </c>
      <c r="C61" s="21">
        <v>38.1</v>
      </c>
      <c r="D61" s="33">
        <v>31.1</v>
      </c>
      <c r="E61" s="7">
        <v>26</v>
      </c>
      <c r="F61" s="11">
        <f t="shared" si="0"/>
        <v>7</v>
      </c>
      <c r="G61" s="23">
        <f t="shared" si="1"/>
        <v>5.1000000000000014</v>
      </c>
      <c r="H61" s="24">
        <f t="shared" si="2"/>
        <v>57.851239669421481</v>
      </c>
      <c r="I61" s="25">
        <v>3216</v>
      </c>
      <c r="J61" s="26">
        <f t="shared" si="3"/>
        <v>7</v>
      </c>
      <c r="K61" s="21">
        <f t="shared" si="4"/>
        <v>34.443359999999998</v>
      </c>
      <c r="L61" s="38">
        <v>1.75</v>
      </c>
      <c r="M61" s="30">
        <v>5</v>
      </c>
      <c r="N61" s="28">
        <f t="shared" si="5"/>
        <v>5.8886719999999997</v>
      </c>
      <c r="O61" s="39">
        <f t="shared" si="6"/>
        <v>42.082031999999998</v>
      </c>
    </row>
    <row r="62" spans="1:15" x14ac:dyDescent="0.3">
      <c r="A62" s="31"/>
      <c r="B62" s="20">
        <v>0.85416666666666663</v>
      </c>
      <c r="C62" s="21">
        <v>38.1</v>
      </c>
      <c r="D62" s="33">
        <v>31</v>
      </c>
      <c r="E62" s="7">
        <v>26</v>
      </c>
      <c r="F62" s="11">
        <f t="shared" si="0"/>
        <v>7.1000000000000014</v>
      </c>
      <c r="G62" s="23">
        <f t="shared" si="1"/>
        <v>5</v>
      </c>
      <c r="H62" s="24">
        <f t="shared" si="2"/>
        <v>58.677685950413228</v>
      </c>
      <c r="I62" s="25">
        <v>3060</v>
      </c>
      <c r="J62" s="26">
        <f t="shared" si="3"/>
        <v>7.1000000000000014</v>
      </c>
      <c r="K62" s="21">
        <f t="shared" si="4"/>
        <v>33.240780000000008</v>
      </c>
      <c r="L62" s="38">
        <v>1.75</v>
      </c>
      <c r="M62" s="30">
        <v>5</v>
      </c>
      <c r="N62" s="28">
        <f t="shared" si="5"/>
        <v>5.648156000000002</v>
      </c>
      <c r="O62" s="39">
        <f t="shared" si="6"/>
        <v>40.638936000000008</v>
      </c>
    </row>
    <row r="63" spans="1:15" x14ac:dyDescent="0.3">
      <c r="A63" s="31"/>
      <c r="B63" s="20">
        <v>0.9375</v>
      </c>
      <c r="C63" s="21">
        <v>38</v>
      </c>
      <c r="D63" s="33">
        <v>31</v>
      </c>
      <c r="E63" s="7">
        <v>26</v>
      </c>
      <c r="F63" s="11">
        <f t="shared" si="0"/>
        <v>7</v>
      </c>
      <c r="G63" s="23">
        <f t="shared" si="1"/>
        <v>5</v>
      </c>
      <c r="H63" s="24">
        <f t="shared" si="2"/>
        <v>58.333333333333336</v>
      </c>
      <c r="I63" s="25">
        <v>3131</v>
      </c>
      <c r="J63" s="26">
        <f t="shared" si="3"/>
        <v>7</v>
      </c>
      <c r="K63" s="21">
        <f t="shared" si="4"/>
        <v>33.533009999999997</v>
      </c>
      <c r="L63" s="38">
        <v>1.75</v>
      </c>
      <c r="M63" s="30">
        <v>5</v>
      </c>
      <c r="N63" s="28">
        <f t="shared" si="5"/>
        <v>5.7066019999999993</v>
      </c>
      <c r="O63" s="39">
        <f t="shared" si="6"/>
        <v>40.989611999999994</v>
      </c>
    </row>
    <row r="64" spans="1:15" x14ac:dyDescent="0.3">
      <c r="A64" s="31"/>
      <c r="B64" s="20">
        <v>2.0833333333333332E-2</v>
      </c>
      <c r="C64" s="21">
        <v>38</v>
      </c>
      <c r="D64" s="33">
        <v>31</v>
      </c>
      <c r="E64" s="7">
        <v>26</v>
      </c>
      <c r="F64" s="11">
        <f t="shared" si="0"/>
        <v>7</v>
      </c>
      <c r="G64" s="23">
        <f t="shared" si="1"/>
        <v>5</v>
      </c>
      <c r="H64" s="24">
        <f t="shared" si="2"/>
        <v>58.333333333333336</v>
      </c>
      <c r="I64" s="25">
        <v>3115</v>
      </c>
      <c r="J64" s="26">
        <f t="shared" si="3"/>
        <v>7</v>
      </c>
      <c r="K64" s="21">
        <f t="shared" si="4"/>
        <v>33.361649999999997</v>
      </c>
      <c r="L64" s="38">
        <v>1.75</v>
      </c>
      <c r="M64" s="30">
        <v>5</v>
      </c>
      <c r="N64" s="28">
        <f t="shared" si="5"/>
        <v>5.6723299999999997</v>
      </c>
      <c r="O64" s="39">
        <f t="shared" si="6"/>
        <v>40.78398</v>
      </c>
    </row>
    <row r="65" spans="1:15" x14ac:dyDescent="0.3">
      <c r="A65" s="31"/>
      <c r="B65" s="20">
        <v>0.10416666666666667</v>
      </c>
      <c r="C65" s="21">
        <v>38</v>
      </c>
      <c r="D65" s="33">
        <v>31</v>
      </c>
      <c r="E65" s="7">
        <v>26</v>
      </c>
      <c r="F65" s="11">
        <f t="shared" si="0"/>
        <v>7</v>
      </c>
      <c r="G65" s="23">
        <f t="shared" si="1"/>
        <v>5</v>
      </c>
      <c r="H65" s="24">
        <f t="shared" si="2"/>
        <v>58.333333333333336</v>
      </c>
      <c r="I65" s="25">
        <v>3197</v>
      </c>
      <c r="J65" s="26">
        <f t="shared" si="3"/>
        <v>7</v>
      </c>
      <c r="K65" s="21">
        <f t="shared" si="4"/>
        <v>34.239869999999996</v>
      </c>
      <c r="L65" s="38">
        <v>1.75</v>
      </c>
      <c r="M65" s="30">
        <v>5</v>
      </c>
      <c r="N65" s="28">
        <f t="shared" si="5"/>
        <v>5.8479739999999989</v>
      </c>
      <c r="O65" s="39">
        <f t="shared" si="6"/>
        <v>41.837843999999997</v>
      </c>
    </row>
    <row r="66" spans="1:15" x14ac:dyDescent="0.3">
      <c r="A66" s="31"/>
      <c r="B66" s="20">
        <v>0.1875</v>
      </c>
      <c r="C66" s="21"/>
      <c r="D66" s="33"/>
      <c r="E66" s="7">
        <v>26</v>
      </c>
      <c r="F66" s="11">
        <f t="shared" si="0"/>
        <v>0</v>
      </c>
      <c r="G66" s="23">
        <f t="shared" si="1"/>
        <v>-26</v>
      </c>
      <c r="H66" s="24">
        <f t="shared" si="2"/>
        <v>0</v>
      </c>
      <c r="I66" s="25"/>
      <c r="J66" s="26">
        <f t="shared" si="3"/>
        <v>0</v>
      </c>
      <c r="K66" s="21">
        <f t="shared" si="4"/>
        <v>0</v>
      </c>
      <c r="L66" s="38">
        <v>1.75</v>
      </c>
      <c r="M66" s="30">
        <v>5</v>
      </c>
      <c r="N66" s="28">
        <f t="shared" si="5"/>
        <v>-1</v>
      </c>
      <c r="O66" s="39">
        <f t="shared" si="6"/>
        <v>0.75</v>
      </c>
    </row>
    <row r="67" spans="1:15" s="3" customFormat="1" x14ac:dyDescent="0.3">
      <c r="A67" s="34"/>
      <c r="B67" s="34"/>
      <c r="C67" s="34"/>
      <c r="D67" s="34"/>
      <c r="E67" s="34"/>
      <c r="F67" s="34"/>
      <c r="G67" s="34" t="s">
        <v>8</v>
      </c>
      <c r="H67" s="34">
        <f>AVERAGE(H55:H66)</f>
        <v>50.82703986776658</v>
      </c>
      <c r="I67" s="34"/>
      <c r="J67" s="34"/>
      <c r="K67" s="34">
        <f>AVERAGE(K55:K66)</f>
        <v>30.819044999999999</v>
      </c>
      <c r="L67" s="34"/>
      <c r="M67" s="34"/>
      <c r="N67" s="34">
        <f>AVERAGE(N55:N66)</f>
        <v>5.1638089999999996</v>
      </c>
      <c r="O67" s="34">
        <f>AVERAGE(O55:O66)</f>
        <v>37.732853999999996</v>
      </c>
    </row>
    <row r="68" spans="1:15" x14ac:dyDescent="0.3">
      <c r="A68" s="19">
        <v>44567</v>
      </c>
      <c r="B68" s="20">
        <v>0.27083333333333331</v>
      </c>
      <c r="C68" s="21">
        <v>39</v>
      </c>
      <c r="D68" s="33">
        <v>31.6</v>
      </c>
      <c r="E68" s="7">
        <v>26</v>
      </c>
      <c r="F68" s="11">
        <f t="shared" ref="F68:G131" si="7">C68-D68</f>
        <v>7.3999999999999986</v>
      </c>
      <c r="G68" s="23">
        <f t="shared" si="7"/>
        <v>5.6000000000000014</v>
      </c>
      <c r="H68" s="24">
        <f t="shared" ref="H68:H131" si="8">(F68/(F68+G68))*100</f>
        <v>56.923076923076913</v>
      </c>
      <c r="I68" s="25">
        <v>3201</v>
      </c>
      <c r="J68" s="26">
        <f t="shared" ref="J68:J131" si="9">C68-D68</f>
        <v>7.3999999999999986</v>
      </c>
      <c r="K68" s="21">
        <f t="shared" ref="K68:K131" si="10">0.00085*1.8*I68*J68</f>
        <v>36.241721999999989</v>
      </c>
      <c r="L68" s="38">
        <v>1.75</v>
      </c>
      <c r="M68" s="30">
        <v>5</v>
      </c>
      <c r="N68" s="28">
        <f t="shared" ref="N68:N131" si="11">K68/M68-1</f>
        <v>6.2483443999999979</v>
      </c>
      <c r="O68" s="39">
        <f t="shared" ref="O68:O131" si="12">K68+L68+N68</f>
        <v>44.240066399999989</v>
      </c>
    </row>
    <row r="69" spans="1:15" x14ac:dyDescent="0.3">
      <c r="A69" s="19"/>
      <c r="B69" s="20">
        <v>0.35416666666666669</v>
      </c>
      <c r="C69" s="21">
        <v>39.1</v>
      </c>
      <c r="D69" s="33">
        <v>31.6</v>
      </c>
      <c r="E69" s="7">
        <v>26</v>
      </c>
      <c r="F69" s="11">
        <f t="shared" si="7"/>
        <v>7.5</v>
      </c>
      <c r="G69" s="23">
        <f t="shared" si="7"/>
        <v>5.6000000000000014</v>
      </c>
      <c r="H69" s="24">
        <f t="shared" si="8"/>
        <v>57.251908396946561</v>
      </c>
      <c r="I69" s="25">
        <v>3158</v>
      </c>
      <c r="J69" s="26">
        <f t="shared" si="9"/>
        <v>7.5</v>
      </c>
      <c r="K69" s="21">
        <f t="shared" si="10"/>
        <v>36.238050000000001</v>
      </c>
      <c r="L69" s="38">
        <v>1.75</v>
      </c>
      <c r="M69" s="30">
        <v>5</v>
      </c>
      <c r="N69" s="28">
        <f t="shared" si="11"/>
        <v>6.2476099999999999</v>
      </c>
      <c r="O69" s="39">
        <f t="shared" si="12"/>
        <v>44.235660000000003</v>
      </c>
    </row>
    <row r="70" spans="1:15" x14ac:dyDescent="0.3">
      <c r="A70" s="19"/>
      <c r="B70" s="20">
        <v>0.4375</v>
      </c>
      <c r="C70" s="21">
        <v>40.1</v>
      </c>
      <c r="D70" s="33">
        <v>32.700000000000003</v>
      </c>
      <c r="E70" s="7">
        <v>26</v>
      </c>
      <c r="F70" s="11">
        <f t="shared" si="7"/>
        <v>7.3999999999999986</v>
      </c>
      <c r="G70" s="23">
        <f t="shared" si="7"/>
        <v>6.7000000000000028</v>
      </c>
      <c r="H70" s="24">
        <f t="shared" si="8"/>
        <v>52.482269503546085</v>
      </c>
      <c r="I70" s="25">
        <v>3077</v>
      </c>
      <c r="J70" s="26">
        <f t="shared" si="9"/>
        <v>7.3999999999999986</v>
      </c>
      <c r="K70" s="21">
        <f t="shared" si="10"/>
        <v>34.837793999999988</v>
      </c>
      <c r="L70" s="38">
        <v>1.75</v>
      </c>
      <c r="M70" s="30">
        <v>5</v>
      </c>
      <c r="N70" s="28">
        <f t="shared" si="11"/>
        <v>5.9675587999999973</v>
      </c>
      <c r="O70" s="39">
        <f t="shared" si="12"/>
        <v>42.555352799999987</v>
      </c>
    </row>
    <row r="71" spans="1:15" x14ac:dyDescent="0.3">
      <c r="A71" s="19"/>
      <c r="B71" s="20">
        <v>0.52083333333333337</v>
      </c>
      <c r="C71" s="21">
        <v>40.200000000000003</v>
      </c>
      <c r="D71" s="33">
        <v>33.299999999999997</v>
      </c>
      <c r="E71" s="7">
        <v>26</v>
      </c>
      <c r="F71" s="11">
        <f t="shared" si="7"/>
        <v>6.9000000000000057</v>
      </c>
      <c r="G71" s="23">
        <f t="shared" si="7"/>
        <v>7.2999999999999972</v>
      </c>
      <c r="H71" s="24">
        <f t="shared" si="8"/>
        <v>48.591549295774676</v>
      </c>
      <c r="I71" s="25">
        <v>3191</v>
      </c>
      <c r="J71" s="26">
        <f t="shared" si="9"/>
        <v>6.9000000000000057</v>
      </c>
      <c r="K71" s="21">
        <f t="shared" si="10"/>
        <v>33.68738700000003</v>
      </c>
      <c r="L71" s="38">
        <v>1.75</v>
      </c>
      <c r="M71" s="30">
        <v>5</v>
      </c>
      <c r="N71" s="28">
        <f t="shared" si="11"/>
        <v>5.7374774000000057</v>
      </c>
      <c r="O71" s="39">
        <f t="shared" si="12"/>
        <v>41.174864400000033</v>
      </c>
    </row>
    <row r="72" spans="1:15" x14ac:dyDescent="0.3">
      <c r="A72" s="19"/>
      <c r="B72" s="20">
        <v>0.60416666666666663</v>
      </c>
      <c r="C72" s="21">
        <v>37.1</v>
      </c>
      <c r="D72" s="33">
        <v>31.5</v>
      </c>
      <c r="E72" s="7">
        <v>26</v>
      </c>
      <c r="F72" s="11">
        <f t="shared" si="7"/>
        <v>5.6000000000000014</v>
      </c>
      <c r="G72" s="23">
        <f t="shared" si="7"/>
        <v>5.5</v>
      </c>
      <c r="H72" s="24">
        <f t="shared" si="8"/>
        <v>50.450450450450454</v>
      </c>
      <c r="I72" s="25">
        <v>3142</v>
      </c>
      <c r="J72" s="26">
        <f t="shared" si="9"/>
        <v>5.6000000000000014</v>
      </c>
      <c r="K72" s="21">
        <f t="shared" si="10"/>
        <v>26.920656000000005</v>
      </c>
      <c r="L72" s="38">
        <v>1.75</v>
      </c>
      <c r="M72" s="30">
        <v>5</v>
      </c>
      <c r="N72" s="28">
        <f t="shared" si="11"/>
        <v>4.3841312000000006</v>
      </c>
      <c r="O72" s="39">
        <f t="shared" si="12"/>
        <v>33.054787200000007</v>
      </c>
    </row>
    <row r="73" spans="1:15" x14ac:dyDescent="0.3">
      <c r="A73" s="19"/>
      <c r="B73" s="20">
        <v>0.6875</v>
      </c>
      <c r="C73" s="21">
        <v>37.6</v>
      </c>
      <c r="D73" s="33">
        <v>31.8</v>
      </c>
      <c r="E73" s="7">
        <v>26</v>
      </c>
      <c r="F73" s="11">
        <f t="shared" si="7"/>
        <v>5.8000000000000007</v>
      </c>
      <c r="G73" s="23">
        <f t="shared" si="7"/>
        <v>5.8000000000000007</v>
      </c>
      <c r="H73" s="24">
        <f t="shared" si="8"/>
        <v>50</v>
      </c>
      <c r="I73" s="25">
        <v>3141</v>
      </c>
      <c r="J73" s="26">
        <f t="shared" si="9"/>
        <v>5.8000000000000007</v>
      </c>
      <c r="K73" s="21">
        <f t="shared" si="10"/>
        <v>27.873234</v>
      </c>
      <c r="L73" s="38">
        <v>1.75</v>
      </c>
      <c r="M73" s="30">
        <v>5</v>
      </c>
      <c r="N73" s="28">
        <f t="shared" si="11"/>
        <v>4.5746468</v>
      </c>
      <c r="O73" s="39">
        <f t="shared" si="12"/>
        <v>34.1978808</v>
      </c>
    </row>
    <row r="74" spans="1:15" x14ac:dyDescent="0.3">
      <c r="A74" s="19"/>
      <c r="B74" s="20">
        <v>0.77083333333333337</v>
      </c>
      <c r="C74" s="21">
        <v>36.9</v>
      </c>
      <c r="D74" s="33">
        <v>31.1</v>
      </c>
      <c r="E74" s="7">
        <v>26</v>
      </c>
      <c r="F74" s="11">
        <f t="shared" si="7"/>
        <v>5.7999999999999972</v>
      </c>
      <c r="G74" s="23">
        <f t="shared" si="7"/>
        <v>5.1000000000000014</v>
      </c>
      <c r="H74" s="24">
        <f t="shared" si="8"/>
        <v>53.211009174311904</v>
      </c>
      <c r="I74" s="25">
        <v>3142</v>
      </c>
      <c r="J74" s="26">
        <f t="shared" si="9"/>
        <v>5.7999999999999972</v>
      </c>
      <c r="K74" s="21">
        <f t="shared" si="10"/>
        <v>27.882107999999985</v>
      </c>
      <c r="L74" s="38">
        <v>1.75</v>
      </c>
      <c r="M74" s="30">
        <v>5</v>
      </c>
      <c r="N74" s="28">
        <f t="shared" si="11"/>
        <v>4.5764215999999971</v>
      </c>
      <c r="O74" s="39">
        <f t="shared" si="12"/>
        <v>34.208529599999984</v>
      </c>
    </row>
    <row r="75" spans="1:15" x14ac:dyDescent="0.3">
      <c r="A75" s="19"/>
      <c r="B75" s="20">
        <v>0.85416666666666663</v>
      </c>
      <c r="C75" s="21">
        <v>37.6</v>
      </c>
      <c r="D75" s="33">
        <v>31.6</v>
      </c>
      <c r="E75" s="7">
        <v>26</v>
      </c>
      <c r="F75" s="11">
        <f t="shared" si="7"/>
        <v>6</v>
      </c>
      <c r="G75" s="23">
        <f t="shared" si="7"/>
        <v>5.6000000000000014</v>
      </c>
      <c r="H75" s="24">
        <f t="shared" si="8"/>
        <v>51.724137931034477</v>
      </c>
      <c r="I75" s="25">
        <v>3141</v>
      </c>
      <c r="J75" s="26">
        <f t="shared" si="9"/>
        <v>6</v>
      </c>
      <c r="K75" s="21">
        <f t="shared" si="10"/>
        <v>28.834379999999996</v>
      </c>
      <c r="L75" s="38">
        <v>1.75</v>
      </c>
      <c r="M75" s="30">
        <v>5</v>
      </c>
      <c r="N75" s="28">
        <f t="shared" si="11"/>
        <v>4.766875999999999</v>
      </c>
      <c r="O75" s="39">
        <f t="shared" si="12"/>
        <v>35.351255999999992</v>
      </c>
    </row>
    <row r="76" spans="1:15" x14ac:dyDescent="0.3">
      <c r="A76" s="19"/>
      <c r="B76" s="20">
        <v>0.9375</v>
      </c>
      <c r="C76" s="21">
        <v>37.299999999999997</v>
      </c>
      <c r="D76" s="33">
        <v>31.3</v>
      </c>
      <c r="E76" s="7">
        <v>26</v>
      </c>
      <c r="F76" s="11">
        <f t="shared" si="7"/>
        <v>5.9999999999999964</v>
      </c>
      <c r="G76" s="23">
        <f t="shared" si="7"/>
        <v>5.3000000000000007</v>
      </c>
      <c r="H76" s="24">
        <f t="shared" si="8"/>
        <v>53.097345132743342</v>
      </c>
      <c r="I76" s="25">
        <v>3139</v>
      </c>
      <c r="J76" s="26">
        <f t="shared" si="9"/>
        <v>5.9999999999999964</v>
      </c>
      <c r="K76" s="21">
        <f t="shared" si="10"/>
        <v>28.816019999999984</v>
      </c>
      <c r="L76" s="38">
        <v>1.75</v>
      </c>
      <c r="M76" s="30">
        <v>5</v>
      </c>
      <c r="N76" s="28">
        <f t="shared" si="11"/>
        <v>4.7632039999999964</v>
      </c>
      <c r="O76" s="39">
        <f t="shared" si="12"/>
        <v>35.329223999999982</v>
      </c>
    </row>
    <row r="77" spans="1:15" x14ac:dyDescent="0.3">
      <c r="A77" s="19"/>
      <c r="B77" s="20">
        <v>2.0833333333333332E-2</v>
      </c>
      <c r="C77" s="21">
        <v>36.799999999999997</v>
      </c>
      <c r="D77" s="33">
        <v>30.9</v>
      </c>
      <c r="E77" s="7">
        <v>26</v>
      </c>
      <c r="F77" s="11">
        <f t="shared" si="7"/>
        <v>5.8999999999999986</v>
      </c>
      <c r="G77" s="23">
        <f t="shared" si="7"/>
        <v>4.8999999999999986</v>
      </c>
      <c r="H77" s="24">
        <f t="shared" si="8"/>
        <v>54.629629629629626</v>
      </c>
      <c r="I77" s="25">
        <v>3260</v>
      </c>
      <c r="J77" s="26">
        <f t="shared" si="9"/>
        <v>5.8999999999999986</v>
      </c>
      <c r="K77" s="21">
        <f t="shared" si="10"/>
        <v>29.428019999999993</v>
      </c>
      <c r="L77" s="38">
        <v>1.75</v>
      </c>
      <c r="M77" s="30">
        <v>5</v>
      </c>
      <c r="N77" s="28">
        <f t="shared" si="11"/>
        <v>4.8856039999999989</v>
      </c>
      <c r="O77" s="39">
        <f t="shared" si="12"/>
        <v>36.06362399999999</v>
      </c>
    </row>
    <row r="78" spans="1:15" x14ac:dyDescent="0.3">
      <c r="A78" s="19"/>
      <c r="B78" s="20">
        <v>0.10416666666666667</v>
      </c>
      <c r="C78" s="21"/>
      <c r="D78" s="33"/>
      <c r="E78" s="7">
        <v>26</v>
      </c>
      <c r="F78" s="11">
        <f t="shared" si="7"/>
        <v>0</v>
      </c>
      <c r="G78" s="23">
        <f t="shared" si="7"/>
        <v>-26</v>
      </c>
      <c r="H78" s="24">
        <f t="shared" si="8"/>
        <v>0</v>
      </c>
      <c r="I78" s="25"/>
      <c r="J78" s="26">
        <f t="shared" si="9"/>
        <v>0</v>
      </c>
      <c r="K78" s="21">
        <f t="shared" si="10"/>
        <v>0</v>
      </c>
      <c r="L78" s="38">
        <v>1.75</v>
      </c>
      <c r="M78" s="30">
        <v>5</v>
      </c>
      <c r="N78" s="28">
        <f t="shared" si="11"/>
        <v>-1</v>
      </c>
      <c r="O78" s="39">
        <f t="shared" si="12"/>
        <v>0.75</v>
      </c>
    </row>
    <row r="79" spans="1:15" x14ac:dyDescent="0.3">
      <c r="A79" s="19"/>
      <c r="B79" s="20">
        <v>0.1875</v>
      </c>
      <c r="C79" s="21"/>
      <c r="D79" s="33"/>
      <c r="E79" s="7">
        <v>26</v>
      </c>
      <c r="F79" s="11">
        <f t="shared" si="7"/>
        <v>0</v>
      </c>
      <c r="G79" s="23">
        <f t="shared" si="7"/>
        <v>-26</v>
      </c>
      <c r="H79" s="24">
        <f t="shared" si="8"/>
        <v>0</v>
      </c>
      <c r="I79" s="25"/>
      <c r="J79" s="26">
        <f t="shared" si="9"/>
        <v>0</v>
      </c>
      <c r="K79" s="21">
        <f t="shared" si="10"/>
        <v>0</v>
      </c>
      <c r="L79" s="38">
        <v>1.75</v>
      </c>
      <c r="M79" s="30">
        <v>5</v>
      </c>
      <c r="N79" s="28">
        <f t="shared" si="11"/>
        <v>-1</v>
      </c>
      <c r="O79" s="39">
        <f t="shared" si="12"/>
        <v>0.75</v>
      </c>
    </row>
    <row r="80" spans="1:15" s="3" customFormat="1" x14ac:dyDescent="0.3">
      <c r="A80" s="34"/>
      <c r="B80" s="34"/>
      <c r="C80" s="34"/>
      <c r="D80" s="34"/>
      <c r="E80" s="34"/>
      <c r="F80" s="34"/>
      <c r="G80" s="34" t="s">
        <v>8</v>
      </c>
      <c r="H80" s="34">
        <f>AVERAGE(H68:H79)</f>
        <v>44.030114703126173</v>
      </c>
      <c r="I80" s="34"/>
      <c r="J80" s="34"/>
      <c r="K80" s="34">
        <f>AVERAGE(K68:K79)</f>
        <v>25.896614249999999</v>
      </c>
      <c r="L80" s="34"/>
      <c r="M80" s="34"/>
      <c r="N80" s="34">
        <f>AVERAGE(N68:N79)</f>
        <v>4.1793228499999993</v>
      </c>
      <c r="O80" s="34">
        <f>AVERAGE(O68:O79)</f>
        <v>31.825937099999994</v>
      </c>
    </row>
    <row r="81" spans="1:15" x14ac:dyDescent="0.3">
      <c r="A81" s="19">
        <v>44568</v>
      </c>
      <c r="B81" s="20">
        <v>0.27083333333333331</v>
      </c>
      <c r="C81" s="21">
        <v>38.5</v>
      </c>
      <c r="D81" s="33">
        <v>31.7</v>
      </c>
      <c r="E81" s="7">
        <v>26</v>
      </c>
      <c r="F81" s="11">
        <f t="shared" si="7"/>
        <v>6.8000000000000007</v>
      </c>
      <c r="G81" s="23">
        <f t="shared" si="7"/>
        <v>5.6999999999999993</v>
      </c>
      <c r="H81" s="24">
        <f t="shared" si="8"/>
        <v>54.400000000000006</v>
      </c>
      <c r="I81" s="25">
        <v>3142</v>
      </c>
      <c r="J81" s="26">
        <f t="shared" si="9"/>
        <v>6.8000000000000007</v>
      </c>
      <c r="K81" s="21">
        <f t="shared" si="10"/>
        <v>32.689368000000002</v>
      </c>
      <c r="L81" s="38">
        <v>1.75</v>
      </c>
      <c r="M81" s="30">
        <v>5</v>
      </c>
      <c r="N81" s="28">
        <f t="shared" si="11"/>
        <v>5.5378736000000002</v>
      </c>
      <c r="O81" s="39">
        <f t="shared" si="12"/>
        <v>39.977241599999999</v>
      </c>
    </row>
    <row r="82" spans="1:15" x14ac:dyDescent="0.3">
      <c r="A82" s="31"/>
      <c r="B82" s="20">
        <v>0.35416666666666669</v>
      </c>
      <c r="C82" s="21">
        <v>38.700000000000003</v>
      </c>
      <c r="D82" s="33">
        <v>31.8</v>
      </c>
      <c r="E82" s="7">
        <v>26</v>
      </c>
      <c r="F82" s="11">
        <f t="shared" si="7"/>
        <v>6.9000000000000021</v>
      </c>
      <c r="G82" s="23">
        <f t="shared" si="7"/>
        <v>5.8000000000000007</v>
      </c>
      <c r="H82" s="24">
        <f t="shared" si="8"/>
        <v>54.330708661417326</v>
      </c>
      <c r="I82" s="25">
        <v>3141</v>
      </c>
      <c r="J82" s="26">
        <f t="shared" si="9"/>
        <v>6.9000000000000021</v>
      </c>
      <c r="K82" s="21">
        <f t="shared" si="10"/>
        <v>33.159537000000007</v>
      </c>
      <c r="L82" s="38">
        <v>1.75</v>
      </c>
      <c r="M82" s="30">
        <v>5</v>
      </c>
      <c r="N82" s="28">
        <f t="shared" si="11"/>
        <v>5.6319074000000011</v>
      </c>
      <c r="O82" s="39">
        <f t="shared" si="12"/>
        <v>40.54144440000001</v>
      </c>
    </row>
    <row r="83" spans="1:15" x14ac:dyDescent="0.3">
      <c r="A83" s="31"/>
      <c r="B83" s="20">
        <v>0.4375</v>
      </c>
      <c r="C83" s="21">
        <v>39.6</v>
      </c>
      <c r="D83" s="33">
        <v>33.799999999999997</v>
      </c>
      <c r="E83" s="7">
        <v>26</v>
      </c>
      <c r="F83" s="11">
        <f t="shared" si="7"/>
        <v>5.8000000000000043</v>
      </c>
      <c r="G83" s="23">
        <f t="shared" si="7"/>
        <v>7.7999999999999972</v>
      </c>
      <c r="H83" s="24">
        <f t="shared" si="8"/>
        <v>42.647058823529434</v>
      </c>
      <c r="I83" s="25">
        <v>3141</v>
      </c>
      <c r="J83" s="26">
        <f t="shared" si="9"/>
        <v>5.8000000000000043</v>
      </c>
      <c r="K83" s="21">
        <f t="shared" si="10"/>
        <v>27.873234000000018</v>
      </c>
      <c r="L83" s="38">
        <v>1.75</v>
      </c>
      <c r="M83" s="30">
        <v>5</v>
      </c>
      <c r="N83" s="28">
        <f t="shared" si="11"/>
        <v>4.5746468000000036</v>
      </c>
      <c r="O83" s="39">
        <f t="shared" si="12"/>
        <v>34.197880800000021</v>
      </c>
    </row>
    <row r="84" spans="1:15" x14ac:dyDescent="0.3">
      <c r="A84" s="31"/>
      <c r="B84" s="20">
        <v>0.52083333333333337</v>
      </c>
      <c r="C84" s="21">
        <v>40.1</v>
      </c>
      <c r="D84" s="33">
        <v>33.5</v>
      </c>
      <c r="E84" s="7">
        <v>26</v>
      </c>
      <c r="F84" s="11">
        <f t="shared" si="7"/>
        <v>6.6000000000000014</v>
      </c>
      <c r="G84" s="23">
        <f t="shared" si="7"/>
        <v>7.5</v>
      </c>
      <c r="H84" s="24">
        <f t="shared" si="8"/>
        <v>46.808510638297882</v>
      </c>
      <c r="I84" s="25">
        <v>3141</v>
      </c>
      <c r="J84" s="26">
        <f t="shared" si="9"/>
        <v>6.6000000000000014</v>
      </c>
      <c r="K84" s="21">
        <f t="shared" si="10"/>
        <v>31.717818000000005</v>
      </c>
      <c r="L84" s="38">
        <v>1.75</v>
      </c>
      <c r="M84" s="30">
        <v>5</v>
      </c>
      <c r="N84" s="28">
        <f t="shared" si="11"/>
        <v>5.3435636000000013</v>
      </c>
      <c r="O84" s="39">
        <f t="shared" si="12"/>
        <v>38.811381600000011</v>
      </c>
    </row>
    <row r="85" spans="1:15" x14ac:dyDescent="0.3">
      <c r="A85" s="31"/>
      <c r="B85" s="20">
        <v>0.60416666666666663</v>
      </c>
      <c r="C85" s="21">
        <v>40.6</v>
      </c>
      <c r="D85" s="33">
        <v>33.9</v>
      </c>
      <c r="E85" s="7">
        <v>26</v>
      </c>
      <c r="F85" s="11">
        <f t="shared" si="7"/>
        <v>6.7000000000000028</v>
      </c>
      <c r="G85" s="23">
        <f t="shared" si="7"/>
        <v>7.8999999999999986</v>
      </c>
      <c r="H85" s="24">
        <f t="shared" si="8"/>
        <v>45.890410958904127</v>
      </c>
      <c r="I85" s="25">
        <v>3151</v>
      </c>
      <c r="J85" s="26">
        <f t="shared" si="9"/>
        <v>6.7000000000000028</v>
      </c>
      <c r="K85" s="21">
        <f t="shared" si="10"/>
        <v>32.30090100000001</v>
      </c>
      <c r="L85" s="38">
        <v>1.75</v>
      </c>
      <c r="M85" s="30">
        <v>5</v>
      </c>
      <c r="N85" s="28">
        <f t="shared" si="11"/>
        <v>5.4601802000000017</v>
      </c>
      <c r="O85" s="39">
        <f t="shared" si="12"/>
        <v>39.511081200000014</v>
      </c>
    </row>
    <row r="86" spans="1:15" x14ac:dyDescent="0.3">
      <c r="A86" s="31"/>
      <c r="B86" s="20">
        <v>0.6875</v>
      </c>
      <c r="C86" s="21">
        <v>40.6</v>
      </c>
      <c r="D86" s="33">
        <v>34</v>
      </c>
      <c r="E86" s="7">
        <v>26</v>
      </c>
      <c r="F86" s="11">
        <f t="shared" si="7"/>
        <v>6.6000000000000014</v>
      </c>
      <c r="G86" s="23">
        <f t="shared" si="7"/>
        <v>8</v>
      </c>
      <c r="H86" s="24">
        <f t="shared" si="8"/>
        <v>45.205479452054796</v>
      </c>
      <c r="I86" s="25">
        <v>3095</v>
      </c>
      <c r="J86" s="26">
        <f t="shared" si="9"/>
        <v>6.6000000000000014</v>
      </c>
      <c r="K86" s="21">
        <f t="shared" si="10"/>
        <v>31.253310000000003</v>
      </c>
      <c r="L86" s="38">
        <v>1.75</v>
      </c>
      <c r="M86" s="30">
        <v>5</v>
      </c>
      <c r="N86" s="28">
        <f t="shared" si="11"/>
        <v>5.2506620000000002</v>
      </c>
      <c r="O86" s="39">
        <f t="shared" si="12"/>
        <v>38.253971999999997</v>
      </c>
    </row>
    <row r="87" spans="1:15" x14ac:dyDescent="0.3">
      <c r="A87" s="31"/>
      <c r="B87" s="20">
        <v>0.77083333333333337</v>
      </c>
      <c r="C87" s="21">
        <v>40.799999999999997</v>
      </c>
      <c r="D87" s="33">
        <v>33.9</v>
      </c>
      <c r="E87" s="7">
        <v>26</v>
      </c>
      <c r="F87" s="11">
        <f t="shared" si="7"/>
        <v>6.8999999999999986</v>
      </c>
      <c r="G87" s="23">
        <f t="shared" si="7"/>
        <v>7.8999999999999986</v>
      </c>
      <c r="H87" s="24">
        <f t="shared" si="8"/>
        <v>46.621621621621621</v>
      </c>
      <c r="I87" s="25">
        <v>3311</v>
      </c>
      <c r="J87" s="26">
        <f t="shared" si="9"/>
        <v>6.8999999999999986</v>
      </c>
      <c r="K87" s="21">
        <f t="shared" si="10"/>
        <v>34.954226999999996</v>
      </c>
      <c r="L87" s="38">
        <v>1.75</v>
      </c>
      <c r="M87" s="30">
        <v>5</v>
      </c>
      <c r="N87" s="28">
        <f t="shared" si="11"/>
        <v>5.9908453999999995</v>
      </c>
      <c r="O87" s="39">
        <f t="shared" si="12"/>
        <v>42.695072399999994</v>
      </c>
    </row>
    <row r="88" spans="1:15" x14ac:dyDescent="0.3">
      <c r="A88" s="31"/>
      <c r="B88" s="20">
        <v>0.85416666666666663</v>
      </c>
      <c r="C88" s="21">
        <v>40.299999999999997</v>
      </c>
      <c r="D88" s="33">
        <v>33.5</v>
      </c>
      <c r="E88" s="7">
        <v>26</v>
      </c>
      <c r="F88" s="11">
        <f t="shared" si="7"/>
        <v>6.7999999999999972</v>
      </c>
      <c r="G88" s="23">
        <f t="shared" si="7"/>
        <v>7.5</v>
      </c>
      <c r="H88" s="24">
        <f t="shared" si="8"/>
        <v>47.552447552447539</v>
      </c>
      <c r="I88" s="25">
        <v>3238</v>
      </c>
      <c r="J88" s="26">
        <f t="shared" si="9"/>
        <v>6.7999999999999972</v>
      </c>
      <c r="K88" s="21">
        <f t="shared" si="10"/>
        <v>33.688151999999981</v>
      </c>
      <c r="L88" s="38">
        <v>1.75</v>
      </c>
      <c r="M88" s="30">
        <v>5</v>
      </c>
      <c r="N88" s="28">
        <f t="shared" si="11"/>
        <v>5.737630399999996</v>
      </c>
      <c r="O88" s="39">
        <f t="shared" si="12"/>
        <v>41.175782399999974</v>
      </c>
    </row>
    <row r="89" spans="1:15" x14ac:dyDescent="0.3">
      <c r="A89" s="31"/>
      <c r="B89" s="20">
        <v>0.9375</v>
      </c>
      <c r="C89" s="21">
        <v>39.1</v>
      </c>
      <c r="D89" s="33">
        <v>33</v>
      </c>
      <c r="E89" s="7">
        <v>26</v>
      </c>
      <c r="F89" s="11">
        <f t="shared" si="7"/>
        <v>6.1000000000000014</v>
      </c>
      <c r="G89" s="23">
        <f t="shared" si="7"/>
        <v>7</v>
      </c>
      <c r="H89" s="24">
        <f t="shared" si="8"/>
        <v>46.564885496183209</v>
      </c>
      <c r="I89" s="25">
        <v>3316</v>
      </c>
      <c r="J89" s="26">
        <f t="shared" si="9"/>
        <v>6.1000000000000014</v>
      </c>
      <c r="K89" s="21">
        <f t="shared" si="10"/>
        <v>30.948228000000007</v>
      </c>
      <c r="L89" s="38">
        <v>1.75</v>
      </c>
      <c r="M89" s="30">
        <v>5</v>
      </c>
      <c r="N89" s="28">
        <f t="shared" si="11"/>
        <v>5.1896456000000013</v>
      </c>
      <c r="O89" s="39">
        <f t="shared" si="12"/>
        <v>37.887873600000006</v>
      </c>
    </row>
    <row r="90" spans="1:15" x14ac:dyDescent="0.3">
      <c r="A90" s="31"/>
      <c r="B90" s="20">
        <v>2.0833333333333332E-2</v>
      </c>
      <c r="C90" s="21">
        <v>39.9</v>
      </c>
      <c r="D90" s="33">
        <v>33</v>
      </c>
      <c r="E90" s="7">
        <v>26</v>
      </c>
      <c r="F90" s="11">
        <f t="shared" si="7"/>
        <v>6.8999999999999986</v>
      </c>
      <c r="G90" s="23">
        <f t="shared" si="7"/>
        <v>7</v>
      </c>
      <c r="H90" s="24">
        <f t="shared" si="8"/>
        <v>49.640287769784166</v>
      </c>
      <c r="I90" s="25">
        <v>3216</v>
      </c>
      <c r="J90" s="26">
        <f t="shared" si="9"/>
        <v>6.8999999999999986</v>
      </c>
      <c r="K90" s="21">
        <f t="shared" si="10"/>
        <v>33.951311999999987</v>
      </c>
      <c r="L90" s="38">
        <v>1.75</v>
      </c>
      <c r="M90" s="30">
        <v>5</v>
      </c>
      <c r="N90" s="28">
        <f t="shared" si="11"/>
        <v>5.7902623999999978</v>
      </c>
      <c r="O90" s="39">
        <f t="shared" si="12"/>
        <v>41.491574399999983</v>
      </c>
    </row>
    <row r="91" spans="1:15" x14ac:dyDescent="0.3">
      <c r="A91" s="31"/>
      <c r="B91" s="20">
        <v>0.10416666666666667</v>
      </c>
      <c r="C91" s="21">
        <v>39.1</v>
      </c>
      <c r="D91" s="33">
        <v>33</v>
      </c>
      <c r="E91" s="7">
        <v>26</v>
      </c>
      <c r="F91" s="11">
        <f t="shared" si="7"/>
        <v>6.1000000000000014</v>
      </c>
      <c r="G91" s="23">
        <f t="shared" si="7"/>
        <v>7</v>
      </c>
      <c r="H91" s="24">
        <f t="shared" si="8"/>
        <v>46.564885496183209</v>
      </c>
      <c r="I91" s="25">
        <v>3141</v>
      </c>
      <c r="J91" s="26">
        <f t="shared" si="9"/>
        <v>6.1000000000000014</v>
      </c>
      <c r="K91" s="21">
        <f t="shared" si="10"/>
        <v>29.314953000000003</v>
      </c>
      <c r="L91" s="38">
        <v>1.75</v>
      </c>
      <c r="M91" s="30">
        <v>5</v>
      </c>
      <c r="N91" s="28">
        <f t="shared" si="11"/>
        <v>4.8629906000000007</v>
      </c>
      <c r="O91" s="39">
        <f t="shared" si="12"/>
        <v>35.927943600000006</v>
      </c>
    </row>
    <row r="92" spans="1:15" x14ac:dyDescent="0.3">
      <c r="A92" s="31"/>
      <c r="B92" s="20">
        <v>0.1875</v>
      </c>
      <c r="C92" s="21"/>
      <c r="D92" s="33"/>
      <c r="E92" s="7">
        <v>26</v>
      </c>
      <c r="F92" s="11">
        <f t="shared" si="7"/>
        <v>0</v>
      </c>
      <c r="G92" s="23">
        <f t="shared" si="7"/>
        <v>-26</v>
      </c>
      <c r="H92" s="24">
        <f t="shared" si="8"/>
        <v>0</v>
      </c>
      <c r="I92" s="25"/>
      <c r="J92" s="26">
        <f t="shared" si="9"/>
        <v>0</v>
      </c>
      <c r="K92" s="21">
        <f t="shared" si="10"/>
        <v>0</v>
      </c>
      <c r="L92" s="38">
        <v>1.75</v>
      </c>
      <c r="M92" s="30">
        <v>5</v>
      </c>
      <c r="N92" s="28">
        <f t="shared" si="11"/>
        <v>-1</v>
      </c>
      <c r="O92" s="39">
        <f t="shared" si="12"/>
        <v>0.75</v>
      </c>
    </row>
    <row r="93" spans="1:15" s="3" customFormat="1" x14ac:dyDescent="0.3">
      <c r="A93" s="34"/>
      <c r="B93" s="34"/>
      <c r="C93" s="34"/>
      <c r="D93" s="34"/>
      <c r="E93" s="34"/>
      <c r="F93" s="34"/>
      <c r="G93" s="34" t="s">
        <v>8</v>
      </c>
      <c r="H93" s="34">
        <f>AVERAGE(H81:H92)</f>
        <v>43.85219137253528</v>
      </c>
      <c r="I93" s="34"/>
      <c r="J93" s="34"/>
      <c r="K93" s="34">
        <f>AVERAGE(K81:K92)</f>
        <v>29.320920000000005</v>
      </c>
      <c r="L93" s="34"/>
      <c r="M93" s="34"/>
      <c r="N93" s="34">
        <f>AVERAGE(N81:N92)</f>
        <v>4.8641839999999998</v>
      </c>
      <c r="O93" s="34">
        <f>AVERAGE(O81:O92)</f>
        <v>35.935104000000003</v>
      </c>
    </row>
    <row r="94" spans="1:15" x14ac:dyDescent="0.3">
      <c r="A94" s="19">
        <v>44569</v>
      </c>
      <c r="B94" s="20">
        <v>0.27083333333333331</v>
      </c>
      <c r="C94" s="21">
        <v>39.6</v>
      </c>
      <c r="D94" s="33">
        <v>32.700000000000003</v>
      </c>
      <c r="E94" s="7">
        <v>26</v>
      </c>
      <c r="F94" s="11">
        <f t="shared" si="7"/>
        <v>6.8999999999999986</v>
      </c>
      <c r="G94" s="23">
        <f t="shared" si="7"/>
        <v>6.7000000000000028</v>
      </c>
      <c r="H94" s="24">
        <f t="shared" si="8"/>
        <v>50.735294117647044</v>
      </c>
      <c r="I94" s="25">
        <v>3288</v>
      </c>
      <c r="J94" s="26">
        <f t="shared" si="9"/>
        <v>6.8999999999999986</v>
      </c>
      <c r="K94" s="21">
        <f t="shared" si="10"/>
        <v>34.711415999999993</v>
      </c>
      <c r="L94" s="38">
        <v>1.75</v>
      </c>
      <c r="M94" s="30">
        <v>5</v>
      </c>
      <c r="N94" s="28">
        <f t="shared" si="11"/>
        <v>5.9422831999999985</v>
      </c>
      <c r="O94" s="39">
        <f t="shared" si="12"/>
        <v>42.403699199999991</v>
      </c>
    </row>
    <row r="95" spans="1:15" x14ac:dyDescent="0.3">
      <c r="A95" s="19"/>
      <c r="B95" s="20">
        <v>0.35416666666666669</v>
      </c>
      <c r="C95" s="21">
        <v>39.5</v>
      </c>
      <c r="D95" s="33">
        <v>32.4</v>
      </c>
      <c r="E95" s="7">
        <v>26</v>
      </c>
      <c r="F95" s="11">
        <f t="shared" si="7"/>
        <v>7.1000000000000014</v>
      </c>
      <c r="G95" s="23">
        <f t="shared" si="7"/>
        <v>6.3999999999999986</v>
      </c>
      <c r="H95" s="24">
        <f t="shared" si="8"/>
        <v>52.592592592592602</v>
      </c>
      <c r="I95" s="25">
        <v>3444</v>
      </c>
      <c r="J95" s="26">
        <f t="shared" si="9"/>
        <v>7.1000000000000014</v>
      </c>
      <c r="K95" s="21">
        <f t="shared" si="10"/>
        <v>37.412172000000005</v>
      </c>
      <c r="L95" s="38">
        <v>1.75</v>
      </c>
      <c r="M95" s="30">
        <v>5</v>
      </c>
      <c r="N95" s="28">
        <f t="shared" si="11"/>
        <v>6.4824344000000007</v>
      </c>
      <c r="O95" s="39">
        <f t="shared" si="12"/>
        <v>45.644606400000008</v>
      </c>
    </row>
    <row r="96" spans="1:15" x14ac:dyDescent="0.3">
      <c r="A96" s="19"/>
      <c r="B96" s="20">
        <v>0.4375</v>
      </c>
      <c r="C96" s="21">
        <v>40.299999999999997</v>
      </c>
      <c r="D96" s="33">
        <v>33.299999999999997</v>
      </c>
      <c r="E96" s="7">
        <v>26</v>
      </c>
      <c r="F96" s="11">
        <f t="shared" si="7"/>
        <v>7</v>
      </c>
      <c r="G96" s="23">
        <f t="shared" si="7"/>
        <v>7.2999999999999972</v>
      </c>
      <c r="H96" s="24">
        <f t="shared" si="8"/>
        <v>48.951048951048961</v>
      </c>
      <c r="I96" s="25">
        <v>3285</v>
      </c>
      <c r="J96" s="26">
        <f t="shared" si="9"/>
        <v>7</v>
      </c>
      <c r="K96" s="21">
        <f t="shared" si="10"/>
        <v>35.18235</v>
      </c>
      <c r="L96" s="38">
        <v>1.75</v>
      </c>
      <c r="M96" s="30">
        <v>5</v>
      </c>
      <c r="N96" s="28">
        <f t="shared" si="11"/>
        <v>6.0364699999999996</v>
      </c>
      <c r="O96" s="39">
        <f t="shared" si="12"/>
        <v>42.968820000000001</v>
      </c>
    </row>
    <row r="97" spans="1:15" x14ac:dyDescent="0.3">
      <c r="A97" s="19"/>
      <c r="B97" s="20">
        <v>0.52083333333333337</v>
      </c>
      <c r="C97" s="21">
        <v>40.700000000000003</v>
      </c>
      <c r="D97" s="33">
        <v>33.799999999999997</v>
      </c>
      <c r="E97" s="7">
        <v>26</v>
      </c>
      <c r="F97" s="11">
        <f t="shared" si="7"/>
        <v>6.9000000000000057</v>
      </c>
      <c r="G97" s="23">
        <f t="shared" si="7"/>
        <v>7.7999999999999972</v>
      </c>
      <c r="H97" s="24">
        <f t="shared" si="8"/>
        <v>46.93877551020411</v>
      </c>
      <c r="I97" s="25">
        <v>3220</v>
      </c>
      <c r="J97" s="26">
        <f t="shared" si="9"/>
        <v>6.9000000000000057</v>
      </c>
      <c r="K97" s="21">
        <f t="shared" si="10"/>
        <v>33.993540000000024</v>
      </c>
      <c r="L97" s="38">
        <v>1.75</v>
      </c>
      <c r="M97" s="30">
        <v>5</v>
      </c>
      <c r="N97" s="28">
        <f t="shared" si="11"/>
        <v>5.7987080000000049</v>
      </c>
      <c r="O97" s="39">
        <f t="shared" si="12"/>
        <v>41.542248000000029</v>
      </c>
    </row>
    <row r="98" spans="1:15" x14ac:dyDescent="0.3">
      <c r="A98" s="19"/>
      <c r="B98" s="20">
        <v>0.60416666666666663</v>
      </c>
      <c r="C98" s="21">
        <v>40.9</v>
      </c>
      <c r="D98" s="33">
        <v>34</v>
      </c>
      <c r="E98" s="7">
        <v>26</v>
      </c>
      <c r="F98" s="11">
        <f t="shared" si="7"/>
        <v>6.8999999999999986</v>
      </c>
      <c r="G98" s="23">
        <f t="shared" si="7"/>
        <v>8</v>
      </c>
      <c r="H98" s="24">
        <f t="shared" si="8"/>
        <v>46.308724832214757</v>
      </c>
      <c r="I98" s="25">
        <v>3322</v>
      </c>
      <c r="J98" s="26">
        <f t="shared" si="9"/>
        <v>6.8999999999999986</v>
      </c>
      <c r="K98" s="21">
        <f t="shared" si="10"/>
        <v>35.070353999999988</v>
      </c>
      <c r="L98" s="38">
        <v>1.75</v>
      </c>
      <c r="M98" s="30">
        <v>5</v>
      </c>
      <c r="N98" s="28">
        <f t="shared" si="11"/>
        <v>6.0140707999999972</v>
      </c>
      <c r="O98" s="39">
        <f t="shared" si="12"/>
        <v>42.834424799999987</v>
      </c>
    </row>
    <row r="99" spans="1:15" x14ac:dyDescent="0.3">
      <c r="A99" s="19"/>
      <c r="B99" s="20">
        <v>0.6875</v>
      </c>
      <c r="C99" s="21">
        <v>40.6</v>
      </c>
      <c r="D99" s="33">
        <v>33.4</v>
      </c>
      <c r="E99" s="7">
        <v>26</v>
      </c>
      <c r="F99" s="11">
        <f t="shared" si="7"/>
        <v>7.2000000000000028</v>
      </c>
      <c r="G99" s="23">
        <f t="shared" si="7"/>
        <v>7.3999999999999986</v>
      </c>
      <c r="H99" s="24">
        <f t="shared" si="8"/>
        <v>49.315068493150697</v>
      </c>
      <c r="I99" s="25">
        <v>3140</v>
      </c>
      <c r="J99" s="26">
        <f t="shared" si="9"/>
        <v>7.2000000000000028</v>
      </c>
      <c r="K99" s="21">
        <f t="shared" si="10"/>
        <v>34.590240000000016</v>
      </c>
      <c r="L99" s="38">
        <v>1.75</v>
      </c>
      <c r="M99" s="30">
        <v>5</v>
      </c>
      <c r="N99" s="28">
        <f t="shared" si="11"/>
        <v>5.9180480000000033</v>
      </c>
      <c r="O99" s="39">
        <f t="shared" si="12"/>
        <v>42.258288000000022</v>
      </c>
    </row>
    <row r="100" spans="1:15" x14ac:dyDescent="0.3">
      <c r="A100" s="19"/>
      <c r="B100" s="20">
        <v>0.77083333333333337</v>
      </c>
      <c r="C100" s="21">
        <v>40.4</v>
      </c>
      <c r="D100" s="33">
        <v>33.700000000000003</v>
      </c>
      <c r="E100" s="7">
        <v>26</v>
      </c>
      <c r="F100" s="11">
        <f t="shared" si="7"/>
        <v>6.6999999999999957</v>
      </c>
      <c r="G100" s="23">
        <f t="shared" si="7"/>
        <v>7.7000000000000028</v>
      </c>
      <c r="H100" s="24">
        <f t="shared" si="8"/>
        <v>46.52777777777775</v>
      </c>
      <c r="I100" s="25">
        <v>3140</v>
      </c>
      <c r="J100" s="26">
        <f t="shared" si="9"/>
        <v>6.6999999999999957</v>
      </c>
      <c r="K100" s="21">
        <f t="shared" si="10"/>
        <v>32.188139999999976</v>
      </c>
      <c r="L100" s="38">
        <v>1.75</v>
      </c>
      <c r="M100" s="30">
        <v>5</v>
      </c>
      <c r="N100" s="28">
        <f t="shared" si="11"/>
        <v>5.4376279999999948</v>
      </c>
      <c r="O100" s="39">
        <f t="shared" si="12"/>
        <v>39.375767999999972</v>
      </c>
    </row>
    <row r="101" spans="1:15" x14ac:dyDescent="0.3">
      <c r="A101" s="19"/>
      <c r="B101" s="20">
        <v>0.85416666666666663</v>
      </c>
      <c r="C101" s="21">
        <v>40.4</v>
      </c>
      <c r="D101" s="33">
        <v>33.4</v>
      </c>
      <c r="E101" s="7">
        <v>26</v>
      </c>
      <c r="F101" s="11">
        <f t="shared" si="7"/>
        <v>7</v>
      </c>
      <c r="G101" s="23">
        <f t="shared" si="7"/>
        <v>7.3999999999999986</v>
      </c>
      <c r="H101" s="24">
        <f t="shared" si="8"/>
        <v>48.611111111111114</v>
      </c>
      <c r="I101" s="25">
        <v>3141</v>
      </c>
      <c r="J101" s="26">
        <f t="shared" si="9"/>
        <v>7</v>
      </c>
      <c r="K101" s="21">
        <f t="shared" si="10"/>
        <v>33.64011</v>
      </c>
      <c r="L101" s="38">
        <v>1.75</v>
      </c>
      <c r="M101" s="30">
        <v>5</v>
      </c>
      <c r="N101" s="28">
        <f t="shared" si="11"/>
        <v>5.7280220000000002</v>
      </c>
      <c r="O101" s="39">
        <f t="shared" si="12"/>
        <v>41.118132000000003</v>
      </c>
    </row>
    <row r="102" spans="1:15" x14ac:dyDescent="0.3">
      <c r="A102" s="19"/>
      <c r="B102" s="20">
        <v>0.9375</v>
      </c>
      <c r="C102" s="21">
        <v>40.299999999999997</v>
      </c>
      <c r="D102" s="33">
        <v>33.5</v>
      </c>
      <c r="E102" s="7">
        <v>26</v>
      </c>
      <c r="F102" s="11">
        <f t="shared" si="7"/>
        <v>6.7999999999999972</v>
      </c>
      <c r="G102" s="23">
        <f t="shared" si="7"/>
        <v>7.5</v>
      </c>
      <c r="H102" s="24">
        <f t="shared" si="8"/>
        <v>47.552447552447539</v>
      </c>
      <c r="I102" s="25">
        <v>3140</v>
      </c>
      <c r="J102" s="26">
        <f t="shared" si="9"/>
        <v>6.7999999999999972</v>
      </c>
      <c r="K102" s="21">
        <f t="shared" si="10"/>
        <v>32.668559999999985</v>
      </c>
      <c r="L102" s="38">
        <v>1.75</v>
      </c>
      <c r="M102" s="30">
        <v>5</v>
      </c>
      <c r="N102" s="28">
        <f t="shared" si="11"/>
        <v>5.5337119999999969</v>
      </c>
      <c r="O102" s="39">
        <f t="shared" si="12"/>
        <v>39.952271999999979</v>
      </c>
    </row>
    <row r="103" spans="1:15" x14ac:dyDescent="0.3">
      <c r="A103" s="19"/>
      <c r="B103" s="20">
        <v>2.0833333333333332E-2</v>
      </c>
      <c r="C103" s="21">
        <v>40.1</v>
      </c>
      <c r="D103" s="33">
        <v>33</v>
      </c>
      <c r="E103" s="7">
        <v>26</v>
      </c>
      <c r="F103" s="11">
        <f t="shared" si="7"/>
        <v>7.1000000000000014</v>
      </c>
      <c r="G103" s="23">
        <f t="shared" si="7"/>
        <v>7</v>
      </c>
      <c r="H103" s="24">
        <f t="shared" si="8"/>
        <v>50.354609929078023</v>
      </c>
      <c r="I103" s="25">
        <v>3141</v>
      </c>
      <c r="J103" s="26">
        <f t="shared" si="9"/>
        <v>7.1000000000000014</v>
      </c>
      <c r="K103" s="21">
        <f t="shared" si="10"/>
        <v>34.120683000000007</v>
      </c>
      <c r="L103" s="38">
        <v>1.75</v>
      </c>
      <c r="M103" s="30">
        <v>5</v>
      </c>
      <c r="N103" s="28">
        <f t="shared" si="11"/>
        <v>5.824136600000001</v>
      </c>
      <c r="O103" s="39">
        <f t="shared" si="12"/>
        <v>41.69481960000001</v>
      </c>
    </row>
    <row r="104" spans="1:15" x14ac:dyDescent="0.3">
      <c r="A104" s="19"/>
      <c r="B104" s="20">
        <v>0.10416666666666667</v>
      </c>
      <c r="C104" s="21">
        <v>40.6</v>
      </c>
      <c r="D104" s="33">
        <v>33.299999999999997</v>
      </c>
      <c r="E104" s="7">
        <v>26</v>
      </c>
      <c r="F104" s="11">
        <f t="shared" si="7"/>
        <v>7.3000000000000043</v>
      </c>
      <c r="G104" s="23">
        <f t="shared" si="7"/>
        <v>7.2999999999999972</v>
      </c>
      <c r="H104" s="24">
        <f t="shared" si="8"/>
        <v>50.000000000000021</v>
      </c>
      <c r="I104" s="25">
        <v>3139</v>
      </c>
      <c r="J104" s="26">
        <f t="shared" si="9"/>
        <v>7.3000000000000043</v>
      </c>
      <c r="K104" s="21">
        <f t="shared" si="10"/>
        <v>35.059491000000023</v>
      </c>
      <c r="L104" s="38">
        <v>1.75</v>
      </c>
      <c r="M104" s="30">
        <v>5</v>
      </c>
      <c r="N104" s="28">
        <f t="shared" si="11"/>
        <v>6.0118982000000045</v>
      </c>
      <c r="O104" s="39">
        <f t="shared" si="12"/>
        <v>42.821389200000027</v>
      </c>
    </row>
    <row r="105" spans="1:15" x14ac:dyDescent="0.3">
      <c r="A105" s="19"/>
      <c r="B105" s="20">
        <v>0.1875</v>
      </c>
      <c r="C105" s="21">
        <v>40</v>
      </c>
      <c r="D105" s="33">
        <v>33</v>
      </c>
      <c r="E105" s="7">
        <v>26</v>
      </c>
      <c r="F105" s="11">
        <f t="shared" si="7"/>
        <v>7</v>
      </c>
      <c r="G105" s="23">
        <f t="shared" si="7"/>
        <v>7</v>
      </c>
      <c r="H105" s="24">
        <f t="shared" si="8"/>
        <v>50</v>
      </c>
      <c r="I105" s="25">
        <v>3316</v>
      </c>
      <c r="J105" s="26">
        <f t="shared" si="9"/>
        <v>7</v>
      </c>
      <c r="K105" s="21">
        <f t="shared" si="10"/>
        <v>35.514359999999996</v>
      </c>
      <c r="L105" s="38">
        <v>1.75</v>
      </c>
      <c r="M105" s="30">
        <v>5</v>
      </c>
      <c r="N105" s="28">
        <f t="shared" si="11"/>
        <v>6.1028719999999996</v>
      </c>
      <c r="O105" s="39">
        <f t="shared" si="12"/>
        <v>43.367231999999994</v>
      </c>
    </row>
    <row r="106" spans="1:15" s="3" customFormat="1" x14ac:dyDescent="0.3">
      <c r="A106" s="34"/>
      <c r="B106" s="34"/>
      <c r="C106" s="34"/>
      <c r="D106" s="34"/>
      <c r="E106" s="34"/>
      <c r="F106" s="34"/>
      <c r="G106" s="34" t="s">
        <v>8</v>
      </c>
      <c r="H106" s="34">
        <f>AVERAGE(H94:H105)</f>
        <v>48.990620905606058</v>
      </c>
      <c r="I106" s="34"/>
      <c r="J106" s="34"/>
      <c r="K106" s="34">
        <f>AVERAGE(K94:K105)</f>
        <v>34.512617999999996</v>
      </c>
      <c r="L106" s="34"/>
      <c r="M106" s="34"/>
      <c r="N106" s="34">
        <f>AVERAGE(N94:N105)</f>
        <v>5.9025236000000012</v>
      </c>
      <c r="O106" s="34">
        <f>AVERAGE(O94:O105)</f>
        <v>42.165141600000005</v>
      </c>
    </row>
    <row r="107" spans="1:15" x14ac:dyDescent="0.3">
      <c r="A107" s="19">
        <v>44570</v>
      </c>
      <c r="B107" s="20">
        <v>0.27083333333333331</v>
      </c>
      <c r="C107" s="21">
        <v>40.200000000000003</v>
      </c>
      <c r="D107" s="33">
        <v>33.200000000000003</v>
      </c>
      <c r="E107" s="7">
        <v>26</v>
      </c>
      <c r="F107" s="11">
        <f t="shared" si="7"/>
        <v>7</v>
      </c>
      <c r="G107" s="23">
        <f t="shared" si="7"/>
        <v>7.2000000000000028</v>
      </c>
      <c r="H107" s="24">
        <f t="shared" si="8"/>
        <v>49.295774647887313</v>
      </c>
      <c r="I107" s="25">
        <v>3422</v>
      </c>
      <c r="J107" s="26">
        <f t="shared" si="9"/>
        <v>7</v>
      </c>
      <c r="K107" s="21">
        <f t="shared" si="10"/>
        <v>36.649619999999999</v>
      </c>
      <c r="L107" s="38">
        <v>1.75</v>
      </c>
      <c r="M107" s="30">
        <v>5</v>
      </c>
      <c r="N107" s="28">
        <f t="shared" si="11"/>
        <v>6.3299240000000001</v>
      </c>
      <c r="O107" s="39">
        <f t="shared" si="12"/>
        <v>44.729543999999997</v>
      </c>
    </row>
    <row r="108" spans="1:15" x14ac:dyDescent="0.3">
      <c r="A108" s="31"/>
      <c r="B108" s="20">
        <v>0.35416666666666669</v>
      </c>
      <c r="C108" s="21">
        <v>40.1</v>
      </c>
      <c r="D108" s="33">
        <v>33</v>
      </c>
      <c r="E108" s="7">
        <v>26</v>
      </c>
      <c r="F108" s="11">
        <f t="shared" si="7"/>
        <v>7.1000000000000014</v>
      </c>
      <c r="G108" s="23">
        <f t="shared" si="7"/>
        <v>7</v>
      </c>
      <c r="H108" s="24">
        <f t="shared" si="8"/>
        <v>50.354609929078023</v>
      </c>
      <c r="I108" s="25">
        <v>3271</v>
      </c>
      <c r="J108" s="26">
        <f t="shared" si="9"/>
        <v>7.1000000000000014</v>
      </c>
      <c r="K108" s="21">
        <f t="shared" si="10"/>
        <v>35.532873000000002</v>
      </c>
      <c r="L108" s="38">
        <v>1.75</v>
      </c>
      <c r="M108" s="30">
        <v>5</v>
      </c>
      <c r="N108" s="28">
        <f t="shared" si="11"/>
        <v>6.1065746000000001</v>
      </c>
      <c r="O108" s="39">
        <f t="shared" si="12"/>
        <v>43.389447600000004</v>
      </c>
    </row>
    <row r="109" spans="1:15" x14ac:dyDescent="0.3">
      <c r="A109" s="31"/>
      <c r="B109" s="20">
        <v>0.4375</v>
      </c>
      <c r="C109" s="21">
        <v>40.5</v>
      </c>
      <c r="D109" s="33">
        <v>33.6</v>
      </c>
      <c r="E109" s="7">
        <v>26</v>
      </c>
      <c r="F109" s="11">
        <f t="shared" si="7"/>
        <v>6.8999999999999986</v>
      </c>
      <c r="G109" s="23">
        <f t="shared" si="7"/>
        <v>7.6000000000000014</v>
      </c>
      <c r="H109" s="24">
        <f t="shared" si="8"/>
        <v>47.586206896551715</v>
      </c>
      <c r="I109" s="25">
        <v>3310</v>
      </c>
      <c r="J109" s="26">
        <f t="shared" si="9"/>
        <v>6.8999999999999986</v>
      </c>
      <c r="K109" s="21">
        <f t="shared" si="10"/>
        <v>34.94366999999999</v>
      </c>
      <c r="L109" s="38">
        <v>1.75</v>
      </c>
      <c r="M109" s="30">
        <v>5</v>
      </c>
      <c r="N109" s="28">
        <f t="shared" si="11"/>
        <v>5.9887339999999982</v>
      </c>
      <c r="O109" s="39">
        <f t="shared" si="12"/>
        <v>42.682403999999991</v>
      </c>
    </row>
    <row r="110" spans="1:15" x14ac:dyDescent="0.3">
      <c r="A110" s="31"/>
      <c r="B110" s="20">
        <v>0.52083333333333337</v>
      </c>
      <c r="C110" s="21">
        <v>40.9</v>
      </c>
      <c r="D110" s="33">
        <v>34.1</v>
      </c>
      <c r="E110" s="7">
        <v>26</v>
      </c>
      <c r="F110" s="11">
        <f t="shared" si="7"/>
        <v>6.7999999999999972</v>
      </c>
      <c r="G110" s="23">
        <f t="shared" si="7"/>
        <v>8.1000000000000014</v>
      </c>
      <c r="H110" s="24">
        <f t="shared" si="8"/>
        <v>45.637583892617435</v>
      </c>
      <c r="I110" s="25">
        <v>3298</v>
      </c>
      <c r="J110" s="26">
        <f t="shared" si="9"/>
        <v>6.7999999999999972</v>
      </c>
      <c r="K110" s="21">
        <f t="shared" si="10"/>
        <v>34.312391999999981</v>
      </c>
      <c r="L110" s="38">
        <v>1.75</v>
      </c>
      <c r="M110" s="30">
        <v>5</v>
      </c>
      <c r="N110" s="28">
        <f t="shared" si="11"/>
        <v>5.8624783999999961</v>
      </c>
      <c r="O110" s="39">
        <f t="shared" si="12"/>
        <v>41.924870399999975</v>
      </c>
    </row>
    <row r="111" spans="1:15" x14ac:dyDescent="0.3">
      <c r="A111" s="31"/>
      <c r="B111" s="20">
        <v>0.60416666666666663</v>
      </c>
      <c r="C111" s="21">
        <v>41.1</v>
      </c>
      <c r="D111" s="33">
        <v>34.200000000000003</v>
      </c>
      <c r="E111" s="7">
        <v>26</v>
      </c>
      <c r="F111" s="11">
        <f t="shared" si="7"/>
        <v>6.8999999999999986</v>
      </c>
      <c r="G111" s="23">
        <f t="shared" si="7"/>
        <v>8.2000000000000028</v>
      </c>
      <c r="H111" s="24">
        <f t="shared" si="8"/>
        <v>45.695364238410576</v>
      </c>
      <c r="I111" s="25">
        <v>3350</v>
      </c>
      <c r="J111" s="26">
        <f t="shared" si="9"/>
        <v>6.8999999999999986</v>
      </c>
      <c r="K111" s="21">
        <f t="shared" si="10"/>
        <v>35.365949999999991</v>
      </c>
      <c r="L111" s="38">
        <v>1.75</v>
      </c>
      <c r="M111" s="30">
        <v>5</v>
      </c>
      <c r="N111" s="28">
        <f t="shared" si="11"/>
        <v>6.0731899999999985</v>
      </c>
      <c r="O111" s="39">
        <f t="shared" si="12"/>
        <v>43.189139999999988</v>
      </c>
    </row>
    <row r="112" spans="1:15" x14ac:dyDescent="0.3">
      <c r="A112" s="31"/>
      <c r="B112" s="20">
        <v>0.6875</v>
      </c>
      <c r="C112" s="21">
        <v>41.6</v>
      </c>
      <c r="D112" s="33">
        <v>34.6</v>
      </c>
      <c r="E112" s="7">
        <v>26</v>
      </c>
      <c r="F112" s="11">
        <f t="shared" si="7"/>
        <v>7</v>
      </c>
      <c r="G112" s="23">
        <f t="shared" si="7"/>
        <v>8.6000000000000014</v>
      </c>
      <c r="H112" s="24">
        <f t="shared" si="8"/>
        <v>44.871794871794869</v>
      </c>
      <c r="I112" s="25">
        <v>3258</v>
      </c>
      <c r="J112" s="26">
        <f t="shared" si="9"/>
        <v>7</v>
      </c>
      <c r="K112" s="21">
        <f t="shared" si="10"/>
        <v>34.893179999999994</v>
      </c>
      <c r="L112" s="38">
        <v>1.75</v>
      </c>
      <c r="M112" s="30">
        <v>5</v>
      </c>
      <c r="N112" s="28">
        <f t="shared" si="11"/>
        <v>5.978635999999999</v>
      </c>
      <c r="O112" s="39">
        <f t="shared" si="12"/>
        <v>42.621815999999995</v>
      </c>
    </row>
    <row r="113" spans="1:15" x14ac:dyDescent="0.3">
      <c r="A113" s="31"/>
      <c r="B113" s="20">
        <v>0.77083333333333337</v>
      </c>
      <c r="C113" s="21">
        <v>41.2</v>
      </c>
      <c r="D113" s="33">
        <v>34.299999999999997</v>
      </c>
      <c r="E113" s="7">
        <v>26</v>
      </c>
      <c r="F113" s="11">
        <f t="shared" si="7"/>
        <v>6.9000000000000057</v>
      </c>
      <c r="G113" s="23">
        <f t="shared" si="7"/>
        <v>8.2999999999999972</v>
      </c>
      <c r="H113" s="24">
        <f t="shared" si="8"/>
        <v>45.394736842105296</v>
      </c>
      <c r="I113" s="25">
        <v>3162</v>
      </c>
      <c r="J113" s="26">
        <f t="shared" si="9"/>
        <v>6.9000000000000057</v>
      </c>
      <c r="K113" s="21">
        <f t="shared" si="10"/>
        <v>33.381234000000028</v>
      </c>
      <c r="L113" s="38">
        <v>1.75</v>
      </c>
      <c r="M113" s="30">
        <v>5</v>
      </c>
      <c r="N113" s="28">
        <f t="shared" si="11"/>
        <v>5.6762468000000057</v>
      </c>
      <c r="O113" s="39">
        <f t="shared" si="12"/>
        <v>40.807480800000036</v>
      </c>
    </row>
    <row r="114" spans="1:15" x14ac:dyDescent="0.3">
      <c r="A114" s="31"/>
      <c r="B114" s="20">
        <v>0.85416666666666663</v>
      </c>
      <c r="C114" s="21">
        <v>41.3</v>
      </c>
      <c r="D114" s="33">
        <v>34.4</v>
      </c>
      <c r="E114" s="7">
        <v>26</v>
      </c>
      <c r="F114" s="11">
        <f t="shared" si="7"/>
        <v>6.8999999999999986</v>
      </c>
      <c r="G114" s="23">
        <f t="shared" si="7"/>
        <v>8.3999999999999986</v>
      </c>
      <c r="H114" s="24">
        <f t="shared" si="8"/>
        <v>45.098039215686278</v>
      </c>
      <c r="I114" s="25">
        <v>3344</v>
      </c>
      <c r="J114" s="26">
        <f t="shared" si="9"/>
        <v>6.8999999999999986</v>
      </c>
      <c r="K114" s="21">
        <f t="shared" si="10"/>
        <v>35.302607999999992</v>
      </c>
      <c r="L114" s="38">
        <v>1.75</v>
      </c>
      <c r="M114" s="30">
        <v>5</v>
      </c>
      <c r="N114" s="28">
        <f t="shared" si="11"/>
        <v>6.0605215999999986</v>
      </c>
      <c r="O114" s="39">
        <f t="shared" si="12"/>
        <v>43.113129599999994</v>
      </c>
    </row>
    <row r="115" spans="1:15" x14ac:dyDescent="0.3">
      <c r="A115" s="31"/>
      <c r="B115" s="20">
        <v>0.9375</v>
      </c>
      <c r="C115" s="21">
        <v>41.2</v>
      </c>
      <c r="D115" s="33">
        <v>34.1</v>
      </c>
      <c r="E115" s="7">
        <v>26</v>
      </c>
      <c r="F115" s="11">
        <f t="shared" si="7"/>
        <v>7.1000000000000014</v>
      </c>
      <c r="G115" s="23">
        <f t="shared" si="7"/>
        <v>8.1000000000000014</v>
      </c>
      <c r="H115" s="24">
        <f t="shared" si="8"/>
        <v>46.710526315789473</v>
      </c>
      <c r="I115" s="25">
        <v>3334</v>
      </c>
      <c r="J115" s="26">
        <f t="shared" si="9"/>
        <v>7.1000000000000014</v>
      </c>
      <c r="K115" s="21">
        <f t="shared" si="10"/>
        <v>36.217241999999999</v>
      </c>
      <c r="L115" s="38">
        <v>1.75</v>
      </c>
      <c r="M115" s="30">
        <v>5</v>
      </c>
      <c r="N115" s="28">
        <f t="shared" si="11"/>
        <v>6.2434484000000001</v>
      </c>
      <c r="O115" s="39">
        <f t="shared" si="12"/>
        <v>44.210690399999997</v>
      </c>
    </row>
    <row r="116" spans="1:15" x14ac:dyDescent="0.3">
      <c r="A116" s="31"/>
      <c r="B116" s="20">
        <v>2.0833333333333332E-2</v>
      </c>
      <c r="C116" s="21">
        <v>40.6</v>
      </c>
      <c r="D116" s="33">
        <v>34</v>
      </c>
      <c r="E116" s="7">
        <v>26</v>
      </c>
      <c r="F116" s="11">
        <f t="shared" si="7"/>
        <v>6.6000000000000014</v>
      </c>
      <c r="G116" s="23">
        <f t="shared" si="7"/>
        <v>8</v>
      </c>
      <c r="H116" s="24">
        <f t="shared" si="8"/>
        <v>45.205479452054796</v>
      </c>
      <c r="I116" s="25">
        <v>3323</v>
      </c>
      <c r="J116" s="26">
        <f t="shared" si="9"/>
        <v>6.6000000000000014</v>
      </c>
      <c r="K116" s="21">
        <f t="shared" si="10"/>
        <v>33.555654000000004</v>
      </c>
      <c r="L116" s="38">
        <v>1.75</v>
      </c>
      <c r="M116" s="30">
        <v>5</v>
      </c>
      <c r="N116" s="28">
        <f t="shared" si="11"/>
        <v>5.7111308000000012</v>
      </c>
      <c r="O116" s="39">
        <f t="shared" si="12"/>
        <v>41.016784800000003</v>
      </c>
    </row>
    <row r="117" spans="1:15" x14ac:dyDescent="0.3">
      <c r="A117" s="31"/>
      <c r="B117" s="20">
        <v>0.10416666666666667</v>
      </c>
      <c r="C117" s="21">
        <v>40.5</v>
      </c>
      <c r="D117" s="33">
        <v>33.6</v>
      </c>
      <c r="E117" s="7">
        <v>26</v>
      </c>
      <c r="F117" s="11">
        <f t="shared" si="7"/>
        <v>6.8999999999999986</v>
      </c>
      <c r="G117" s="23">
        <f t="shared" si="7"/>
        <v>7.6000000000000014</v>
      </c>
      <c r="H117" s="24">
        <f t="shared" si="8"/>
        <v>47.586206896551715</v>
      </c>
      <c r="I117" s="25">
        <v>3273</v>
      </c>
      <c r="J117" s="26">
        <f t="shared" si="9"/>
        <v>6.8999999999999986</v>
      </c>
      <c r="K117" s="21">
        <f t="shared" si="10"/>
        <v>34.553060999999985</v>
      </c>
      <c r="L117" s="38">
        <v>1.75</v>
      </c>
      <c r="M117" s="30">
        <v>5</v>
      </c>
      <c r="N117" s="28">
        <f t="shared" si="11"/>
        <v>5.9106121999999974</v>
      </c>
      <c r="O117" s="39">
        <f t="shared" si="12"/>
        <v>42.213673199999981</v>
      </c>
    </row>
    <row r="118" spans="1:15" x14ac:dyDescent="0.3">
      <c r="A118" s="31"/>
      <c r="B118" s="20">
        <v>0.1875</v>
      </c>
      <c r="C118" s="21">
        <v>38.4</v>
      </c>
      <c r="D118" s="33">
        <v>33.4</v>
      </c>
      <c r="E118" s="7">
        <v>26</v>
      </c>
      <c r="F118" s="11">
        <f t="shared" si="7"/>
        <v>5</v>
      </c>
      <c r="G118" s="23">
        <f t="shared" si="7"/>
        <v>7.3999999999999986</v>
      </c>
      <c r="H118" s="24">
        <f t="shared" si="8"/>
        <v>40.322580645161295</v>
      </c>
      <c r="I118" s="25">
        <v>3211</v>
      </c>
      <c r="J118" s="26">
        <f t="shared" si="9"/>
        <v>5</v>
      </c>
      <c r="K118" s="21">
        <f t="shared" si="10"/>
        <v>24.564149999999998</v>
      </c>
      <c r="L118" s="38">
        <v>1.75</v>
      </c>
      <c r="M118" s="30">
        <v>5</v>
      </c>
      <c r="N118" s="28">
        <f t="shared" si="11"/>
        <v>3.9128299999999996</v>
      </c>
      <c r="O118" s="39">
        <f t="shared" si="12"/>
        <v>30.226979999999998</v>
      </c>
    </row>
    <row r="119" spans="1:15" s="3" customFormat="1" x14ac:dyDescent="0.3">
      <c r="A119" s="34"/>
      <c r="B119" s="34"/>
      <c r="C119" s="34"/>
      <c r="D119" s="34"/>
      <c r="E119" s="34"/>
      <c r="F119" s="34"/>
      <c r="G119" s="34" t="s">
        <v>8</v>
      </c>
      <c r="H119" s="34">
        <f>AVERAGE(H107:H118)</f>
        <v>46.146575320307413</v>
      </c>
      <c r="I119" s="34"/>
      <c r="J119" s="34"/>
      <c r="K119" s="34">
        <f>AVERAGE(K107:K118)</f>
        <v>34.1059695</v>
      </c>
      <c r="L119" s="34"/>
      <c r="M119" s="34"/>
      <c r="N119" s="34">
        <f>AVERAGE(N107:N118)</f>
        <v>5.8211938999999999</v>
      </c>
      <c r="O119" s="34">
        <f>AVERAGE(O107:O118)</f>
        <v>41.677163399999984</v>
      </c>
    </row>
    <row r="120" spans="1:15" x14ac:dyDescent="0.3">
      <c r="A120" s="19">
        <v>44571</v>
      </c>
      <c r="B120" s="20">
        <v>0.27083333333333331</v>
      </c>
      <c r="C120" s="21">
        <v>37.1</v>
      </c>
      <c r="D120" s="33">
        <v>31.8</v>
      </c>
      <c r="E120" s="7">
        <v>26</v>
      </c>
      <c r="F120" s="11">
        <f t="shared" si="7"/>
        <v>5.3000000000000007</v>
      </c>
      <c r="G120" s="23">
        <f t="shared" si="7"/>
        <v>5.8000000000000007</v>
      </c>
      <c r="H120" s="24">
        <f t="shared" si="8"/>
        <v>47.747747747747752</v>
      </c>
      <c r="I120" s="25">
        <v>3291</v>
      </c>
      <c r="J120" s="26">
        <f t="shared" si="9"/>
        <v>5.3000000000000007</v>
      </c>
      <c r="K120" s="21">
        <f t="shared" si="10"/>
        <v>26.686719</v>
      </c>
      <c r="L120" s="38">
        <v>1.75</v>
      </c>
      <c r="M120" s="30">
        <v>5</v>
      </c>
      <c r="N120" s="28">
        <f t="shared" si="11"/>
        <v>4.3373438000000002</v>
      </c>
      <c r="O120" s="39">
        <f t="shared" si="12"/>
        <v>32.774062800000003</v>
      </c>
    </row>
    <row r="121" spans="1:15" x14ac:dyDescent="0.3">
      <c r="A121" s="19"/>
      <c r="B121" s="20">
        <v>0.35416666666666669</v>
      </c>
      <c r="C121" s="21">
        <v>37.1</v>
      </c>
      <c r="D121" s="33">
        <v>31.8</v>
      </c>
      <c r="E121" s="7">
        <v>26</v>
      </c>
      <c r="F121" s="11">
        <f t="shared" si="7"/>
        <v>5.3000000000000007</v>
      </c>
      <c r="G121" s="23">
        <f t="shared" si="7"/>
        <v>5.8000000000000007</v>
      </c>
      <c r="H121" s="24">
        <f t="shared" si="8"/>
        <v>47.747747747747752</v>
      </c>
      <c r="I121" s="25">
        <v>3316</v>
      </c>
      <c r="J121" s="26">
        <f t="shared" si="9"/>
        <v>5.3000000000000007</v>
      </c>
      <c r="K121" s="21">
        <f t="shared" si="10"/>
        <v>26.889444000000005</v>
      </c>
      <c r="L121" s="38">
        <v>1.75</v>
      </c>
      <c r="M121" s="30">
        <v>5</v>
      </c>
      <c r="N121" s="28">
        <f t="shared" si="11"/>
        <v>4.3778888000000009</v>
      </c>
      <c r="O121" s="39">
        <f t="shared" si="12"/>
        <v>33.017332800000005</v>
      </c>
    </row>
    <row r="122" spans="1:15" x14ac:dyDescent="0.3">
      <c r="A122" s="19"/>
      <c r="B122" s="20">
        <v>0.4375</v>
      </c>
      <c r="C122" s="21">
        <v>38.299999999999997</v>
      </c>
      <c r="D122" s="33">
        <v>32.5</v>
      </c>
      <c r="E122" s="7">
        <v>26</v>
      </c>
      <c r="F122" s="11">
        <f t="shared" si="7"/>
        <v>5.7999999999999972</v>
      </c>
      <c r="G122" s="23">
        <f t="shared" si="7"/>
        <v>6.5</v>
      </c>
      <c r="H122" s="24">
        <f t="shared" si="8"/>
        <v>47.154471544715435</v>
      </c>
      <c r="I122" s="25">
        <v>3368</v>
      </c>
      <c r="J122" s="26">
        <f t="shared" si="9"/>
        <v>5.7999999999999972</v>
      </c>
      <c r="K122" s="21">
        <f t="shared" si="10"/>
        <v>29.887631999999986</v>
      </c>
      <c r="L122" s="38">
        <v>1.75</v>
      </c>
      <c r="M122" s="30">
        <v>5</v>
      </c>
      <c r="N122" s="28">
        <f t="shared" si="11"/>
        <v>4.9775263999999968</v>
      </c>
      <c r="O122" s="39">
        <f t="shared" si="12"/>
        <v>36.615158399999984</v>
      </c>
    </row>
    <row r="123" spans="1:15" x14ac:dyDescent="0.3">
      <c r="A123" s="19"/>
      <c r="B123" s="20">
        <v>0.52083333333333337</v>
      </c>
      <c r="C123" s="21">
        <v>38.1</v>
      </c>
      <c r="D123" s="33">
        <v>32.5</v>
      </c>
      <c r="E123" s="7">
        <v>26</v>
      </c>
      <c r="F123" s="11">
        <f t="shared" si="7"/>
        <v>5.6000000000000014</v>
      </c>
      <c r="G123" s="23">
        <f t="shared" si="7"/>
        <v>6.5</v>
      </c>
      <c r="H123" s="24">
        <f t="shared" si="8"/>
        <v>46.280991735537199</v>
      </c>
      <c r="I123" s="25">
        <v>3421</v>
      </c>
      <c r="J123" s="26">
        <f t="shared" si="9"/>
        <v>5.6000000000000014</v>
      </c>
      <c r="K123" s="21">
        <f t="shared" si="10"/>
        <v>29.311128000000004</v>
      </c>
      <c r="L123" s="38">
        <v>1.75</v>
      </c>
      <c r="M123" s="30">
        <v>5</v>
      </c>
      <c r="N123" s="28">
        <f t="shared" si="11"/>
        <v>4.8622256000000004</v>
      </c>
      <c r="O123" s="39">
        <f t="shared" si="12"/>
        <v>35.923353600000006</v>
      </c>
    </row>
    <row r="124" spans="1:15" x14ac:dyDescent="0.3">
      <c r="A124" s="19"/>
      <c r="B124" s="20">
        <v>0.60416666666666663</v>
      </c>
      <c r="C124" s="21">
        <v>37.799999999999997</v>
      </c>
      <c r="D124" s="33">
        <v>32.1</v>
      </c>
      <c r="E124" s="7">
        <v>26</v>
      </c>
      <c r="F124" s="11">
        <f t="shared" si="7"/>
        <v>5.6999999999999957</v>
      </c>
      <c r="G124" s="23">
        <f t="shared" si="7"/>
        <v>6.1000000000000014</v>
      </c>
      <c r="H124" s="24">
        <f t="shared" si="8"/>
        <v>48.305084745762692</v>
      </c>
      <c r="I124" s="25">
        <v>3269</v>
      </c>
      <c r="J124" s="26">
        <f t="shared" si="9"/>
        <v>5.6999999999999957</v>
      </c>
      <c r="K124" s="21">
        <f t="shared" si="10"/>
        <v>28.50894899999998</v>
      </c>
      <c r="L124" s="38">
        <v>1.75</v>
      </c>
      <c r="M124" s="30">
        <v>5</v>
      </c>
      <c r="N124" s="28">
        <f t="shared" si="11"/>
        <v>4.7017897999999958</v>
      </c>
      <c r="O124" s="39">
        <f t="shared" si="12"/>
        <v>34.960738799999973</v>
      </c>
    </row>
    <row r="125" spans="1:15" x14ac:dyDescent="0.3">
      <c r="A125" s="19"/>
      <c r="B125" s="20">
        <v>0.6875</v>
      </c>
      <c r="C125" s="21">
        <v>36.9</v>
      </c>
      <c r="D125" s="33">
        <v>31.8</v>
      </c>
      <c r="E125" s="7">
        <v>26</v>
      </c>
      <c r="F125" s="11">
        <f t="shared" si="7"/>
        <v>5.0999999999999979</v>
      </c>
      <c r="G125" s="23">
        <f t="shared" si="7"/>
        <v>5.8000000000000007</v>
      </c>
      <c r="H125" s="24">
        <f t="shared" si="8"/>
        <v>46.78899082568806</v>
      </c>
      <c r="I125" s="25">
        <v>3337</v>
      </c>
      <c r="J125" s="26">
        <f t="shared" si="9"/>
        <v>5.0999999999999979</v>
      </c>
      <c r="K125" s="21">
        <f t="shared" si="10"/>
        <v>26.038610999999985</v>
      </c>
      <c r="L125" s="38">
        <v>1.75</v>
      </c>
      <c r="M125" s="30">
        <v>5</v>
      </c>
      <c r="N125" s="28">
        <f t="shared" si="11"/>
        <v>4.2077221999999974</v>
      </c>
      <c r="O125" s="39">
        <f t="shared" si="12"/>
        <v>31.996333199999981</v>
      </c>
    </row>
    <row r="126" spans="1:15" x14ac:dyDescent="0.3">
      <c r="A126" s="19"/>
      <c r="B126" s="20">
        <v>0.77083333333333337</v>
      </c>
      <c r="C126" s="21"/>
      <c r="D126" s="33"/>
      <c r="E126" s="7">
        <v>26</v>
      </c>
      <c r="F126" s="11">
        <f t="shared" si="7"/>
        <v>0</v>
      </c>
      <c r="G126" s="23">
        <f t="shared" si="7"/>
        <v>-26</v>
      </c>
      <c r="H126" s="24">
        <f t="shared" si="8"/>
        <v>0</v>
      </c>
      <c r="I126" s="25"/>
      <c r="J126" s="26">
        <f t="shared" si="9"/>
        <v>0</v>
      </c>
      <c r="K126" s="21">
        <f t="shared" si="10"/>
        <v>0</v>
      </c>
      <c r="L126" s="38">
        <v>1.75</v>
      </c>
      <c r="M126" s="30">
        <v>5</v>
      </c>
      <c r="N126" s="28">
        <f t="shared" si="11"/>
        <v>-1</v>
      </c>
      <c r="O126" s="39">
        <f t="shared" si="12"/>
        <v>0.75</v>
      </c>
    </row>
    <row r="127" spans="1:15" x14ac:dyDescent="0.3">
      <c r="A127" s="19"/>
      <c r="B127" s="20">
        <v>0.85416666666666663</v>
      </c>
      <c r="C127" s="21"/>
      <c r="D127" s="33"/>
      <c r="E127" s="7">
        <v>26</v>
      </c>
      <c r="F127" s="11">
        <f t="shared" si="7"/>
        <v>0</v>
      </c>
      <c r="G127" s="23">
        <f t="shared" si="7"/>
        <v>-26</v>
      </c>
      <c r="H127" s="24">
        <f t="shared" si="8"/>
        <v>0</v>
      </c>
      <c r="I127" s="25"/>
      <c r="J127" s="26">
        <f t="shared" si="9"/>
        <v>0</v>
      </c>
      <c r="K127" s="21">
        <f t="shared" si="10"/>
        <v>0</v>
      </c>
      <c r="L127" s="38">
        <v>1.75</v>
      </c>
      <c r="M127" s="30">
        <v>5</v>
      </c>
      <c r="N127" s="28">
        <f t="shared" si="11"/>
        <v>-1</v>
      </c>
      <c r="O127" s="39">
        <f t="shared" si="12"/>
        <v>0.75</v>
      </c>
    </row>
    <row r="128" spans="1:15" x14ac:dyDescent="0.3">
      <c r="A128" s="19"/>
      <c r="B128" s="20">
        <v>0.9375</v>
      </c>
      <c r="C128" s="21"/>
      <c r="D128" s="33"/>
      <c r="E128" s="7">
        <v>26</v>
      </c>
      <c r="F128" s="11">
        <f t="shared" si="7"/>
        <v>0</v>
      </c>
      <c r="G128" s="23">
        <f t="shared" si="7"/>
        <v>-26</v>
      </c>
      <c r="H128" s="24">
        <f t="shared" si="8"/>
        <v>0</v>
      </c>
      <c r="I128" s="25"/>
      <c r="J128" s="26">
        <f t="shared" si="9"/>
        <v>0</v>
      </c>
      <c r="K128" s="21">
        <f t="shared" si="10"/>
        <v>0</v>
      </c>
      <c r="L128" s="38">
        <v>1.75</v>
      </c>
      <c r="M128" s="30">
        <v>5</v>
      </c>
      <c r="N128" s="28">
        <f t="shared" si="11"/>
        <v>-1</v>
      </c>
      <c r="O128" s="39">
        <f t="shared" si="12"/>
        <v>0.75</v>
      </c>
    </row>
    <row r="129" spans="1:15" x14ac:dyDescent="0.3">
      <c r="A129" s="19"/>
      <c r="B129" s="20">
        <v>2.0833333333333332E-2</v>
      </c>
      <c r="C129" s="21">
        <v>36</v>
      </c>
      <c r="D129" s="33">
        <v>30.7</v>
      </c>
      <c r="E129" s="7">
        <v>26</v>
      </c>
      <c r="F129" s="11">
        <f t="shared" si="7"/>
        <v>5.3000000000000007</v>
      </c>
      <c r="G129" s="23">
        <f t="shared" si="7"/>
        <v>4.6999999999999993</v>
      </c>
      <c r="H129" s="24">
        <f t="shared" si="8"/>
        <v>53</v>
      </c>
      <c r="I129" s="25">
        <v>2848</v>
      </c>
      <c r="J129" s="26">
        <f t="shared" si="9"/>
        <v>5.3000000000000007</v>
      </c>
      <c r="K129" s="21">
        <f t="shared" si="10"/>
        <v>23.094432000000001</v>
      </c>
      <c r="L129" s="38">
        <v>1.75</v>
      </c>
      <c r="M129" s="30">
        <v>5</v>
      </c>
      <c r="N129" s="28">
        <f t="shared" si="11"/>
        <v>3.6188864000000001</v>
      </c>
      <c r="O129" s="39">
        <f t="shared" si="12"/>
        <v>28.463318400000002</v>
      </c>
    </row>
    <row r="130" spans="1:15" x14ac:dyDescent="0.3">
      <c r="A130" s="19"/>
      <c r="B130" s="20">
        <v>0.10416666666666667</v>
      </c>
      <c r="C130" s="21">
        <v>36.5</v>
      </c>
      <c r="D130" s="33">
        <v>30.6</v>
      </c>
      <c r="E130" s="7">
        <v>26</v>
      </c>
      <c r="F130" s="11">
        <f t="shared" si="7"/>
        <v>5.8999999999999986</v>
      </c>
      <c r="G130" s="23">
        <f t="shared" si="7"/>
        <v>4.6000000000000014</v>
      </c>
      <c r="H130" s="24">
        <f t="shared" si="8"/>
        <v>56.190476190476183</v>
      </c>
      <c r="I130" s="25">
        <v>2891</v>
      </c>
      <c r="J130" s="26">
        <f t="shared" si="9"/>
        <v>5.8999999999999986</v>
      </c>
      <c r="K130" s="21">
        <f t="shared" si="10"/>
        <v>26.097056999999989</v>
      </c>
      <c r="L130" s="38">
        <v>1.75</v>
      </c>
      <c r="M130" s="30">
        <v>5</v>
      </c>
      <c r="N130" s="28">
        <f t="shared" si="11"/>
        <v>4.2194113999999976</v>
      </c>
      <c r="O130" s="39">
        <f t="shared" si="12"/>
        <v>32.066468399999984</v>
      </c>
    </row>
    <row r="131" spans="1:15" x14ac:dyDescent="0.3">
      <c r="A131" s="19"/>
      <c r="B131" s="20">
        <v>0.1875</v>
      </c>
      <c r="C131" s="21">
        <v>36.200000000000003</v>
      </c>
      <c r="D131" s="33">
        <v>30.9</v>
      </c>
      <c r="E131" s="7">
        <v>26</v>
      </c>
      <c r="F131" s="11">
        <f t="shared" si="7"/>
        <v>5.3000000000000043</v>
      </c>
      <c r="G131" s="23">
        <f t="shared" si="7"/>
        <v>4.8999999999999986</v>
      </c>
      <c r="H131" s="24">
        <f t="shared" si="8"/>
        <v>51.960784313725519</v>
      </c>
      <c r="I131" s="25">
        <v>2860</v>
      </c>
      <c r="J131" s="26">
        <f t="shared" si="9"/>
        <v>5.3000000000000043</v>
      </c>
      <c r="K131" s="21">
        <f t="shared" si="10"/>
        <v>23.191740000000017</v>
      </c>
      <c r="L131" s="38">
        <v>1.75</v>
      </c>
      <c r="M131" s="30">
        <v>5</v>
      </c>
      <c r="N131" s="28">
        <f t="shared" si="11"/>
        <v>3.6383480000000032</v>
      </c>
      <c r="O131" s="39">
        <f t="shared" si="12"/>
        <v>28.580088000000021</v>
      </c>
    </row>
    <row r="132" spans="1:15" s="3" customFormat="1" x14ac:dyDescent="0.3">
      <c r="A132" s="34"/>
      <c r="B132" s="34"/>
      <c r="C132" s="34"/>
      <c r="D132" s="34"/>
      <c r="E132" s="34"/>
      <c r="F132" s="34"/>
      <c r="G132" s="34" t="s">
        <v>8</v>
      </c>
      <c r="H132" s="34">
        <f>AVERAGE(H120:H131)</f>
        <v>37.098024570950052</v>
      </c>
      <c r="I132" s="34"/>
      <c r="J132" s="34"/>
      <c r="K132" s="34">
        <f>AVERAGE(K120:K131)</f>
        <v>19.975475999999997</v>
      </c>
      <c r="L132" s="34"/>
      <c r="M132" s="34"/>
      <c r="N132" s="34">
        <f>AVERAGE(N120:N131)</f>
        <v>2.9950951999999993</v>
      </c>
      <c r="O132" s="34">
        <f>AVERAGE(O120:O131)</f>
        <v>24.720571199999998</v>
      </c>
    </row>
    <row r="133" spans="1:15" x14ac:dyDescent="0.3">
      <c r="A133" s="19">
        <v>44572</v>
      </c>
      <c r="B133" s="20">
        <v>0.27083333333333331</v>
      </c>
      <c r="C133" s="21">
        <v>37.4</v>
      </c>
      <c r="D133" s="33">
        <v>31.8</v>
      </c>
      <c r="E133" s="7">
        <v>26</v>
      </c>
      <c r="F133" s="11">
        <f t="shared" ref="F133:G195" si="13">C133-D133</f>
        <v>5.5999999999999979</v>
      </c>
      <c r="G133" s="23">
        <f t="shared" si="13"/>
        <v>5.8000000000000007</v>
      </c>
      <c r="H133" s="24">
        <f t="shared" ref="H133:H195" si="14">(F133/(F133+G133))*100</f>
        <v>49.122807017543849</v>
      </c>
      <c r="I133" s="25">
        <v>2918</v>
      </c>
      <c r="J133" s="26">
        <f t="shared" ref="J133:J195" si="15">C133-D133</f>
        <v>5.5999999999999979</v>
      </c>
      <c r="K133" s="21">
        <f t="shared" ref="K133:K195" si="16">0.00085*1.8*I133*J133</f>
        <v>25.001423999999989</v>
      </c>
      <c r="L133" s="38">
        <v>1.75</v>
      </c>
      <c r="M133" s="30">
        <v>5</v>
      </c>
      <c r="N133" s="28">
        <f t="shared" ref="N133:N195" si="17">K133/M133-1</f>
        <v>4.0002847999999975</v>
      </c>
      <c r="O133" s="39">
        <f t="shared" ref="O133:O195" si="18">K133+L133+N133</f>
        <v>30.751708799999989</v>
      </c>
    </row>
    <row r="134" spans="1:15" x14ac:dyDescent="0.3">
      <c r="A134" s="31"/>
      <c r="B134" s="20">
        <v>0.35416666666666669</v>
      </c>
      <c r="C134" s="21">
        <v>38</v>
      </c>
      <c r="D134" s="33">
        <v>32.299999999999997</v>
      </c>
      <c r="E134" s="7">
        <v>26</v>
      </c>
      <c r="F134" s="11">
        <f t="shared" si="13"/>
        <v>5.7000000000000028</v>
      </c>
      <c r="G134" s="23">
        <f t="shared" si="13"/>
        <v>6.2999999999999972</v>
      </c>
      <c r="H134" s="24">
        <f t="shared" si="14"/>
        <v>47.500000000000028</v>
      </c>
      <c r="I134" s="25">
        <v>2853</v>
      </c>
      <c r="J134" s="26">
        <f t="shared" si="15"/>
        <v>5.7000000000000028</v>
      </c>
      <c r="K134" s="21">
        <f t="shared" si="16"/>
        <v>24.88101300000001</v>
      </c>
      <c r="L134" s="38">
        <v>1.75</v>
      </c>
      <c r="M134" s="30">
        <v>5</v>
      </c>
      <c r="N134" s="28">
        <f t="shared" si="17"/>
        <v>3.9762026000000024</v>
      </c>
      <c r="O134" s="39">
        <f t="shared" si="18"/>
        <v>30.607215600000011</v>
      </c>
    </row>
    <row r="135" spans="1:15" x14ac:dyDescent="0.3">
      <c r="A135" s="31"/>
      <c r="B135" s="20">
        <v>0.4375</v>
      </c>
      <c r="C135" s="21">
        <v>38.5</v>
      </c>
      <c r="D135" s="33">
        <v>32.700000000000003</v>
      </c>
      <c r="E135" s="7">
        <v>26</v>
      </c>
      <c r="F135" s="11">
        <f t="shared" si="13"/>
        <v>5.7999999999999972</v>
      </c>
      <c r="G135" s="23">
        <f t="shared" si="13"/>
        <v>6.7000000000000028</v>
      </c>
      <c r="H135" s="24">
        <f t="shared" si="14"/>
        <v>46.399999999999977</v>
      </c>
      <c r="I135" s="25">
        <v>2941</v>
      </c>
      <c r="J135" s="26">
        <f t="shared" si="15"/>
        <v>5.7999999999999972</v>
      </c>
      <c r="K135" s="21">
        <f t="shared" si="16"/>
        <v>26.098433999999983</v>
      </c>
      <c r="L135" s="38">
        <v>1.75</v>
      </c>
      <c r="M135" s="30">
        <v>5</v>
      </c>
      <c r="N135" s="28">
        <f t="shared" si="17"/>
        <v>4.2196867999999963</v>
      </c>
      <c r="O135" s="39">
        <f t="shared" si="18"/>
        <v>32.068120799999981</v>
      </c>
    </row>
    <row r="136" spans="1:15" x14ac:dyDescent="0.3">
      <c r="A136" s="31"/>
      <c r="B136" s="20">
        <v>0.52083333333333337</v>
      </c>
      <c r="C136" s="21">
        <v>40.700000000000003</v>
      </c>
      <c r="D136" s="33">
        <v>33.4</v>
      </c>
      <c r="E136" s="7">
        <v>26</v>
      </c>
      <c r="F136" s="11">
        <f t="shared" si="13"/>
        <v>7.3000000000000043</v>
      </c>
      <c r="G136" s="23">
        <f t="shared" si="13"/>
        <v>7.3999999999999986</v>
      </c>
      <c r="H136" s="24">
        <f t="shared" si="14"/>
        <v>49.659863945578252</v>
      </c>
      <c r="I136" s="25">
        <v>2881</v>
      </c>
      <c r="J136" s="26">
        <f t="shared" si="15"/>
        <v>7.3000000000000043</v>
      </c>
      <c r="K136" s="21">
        <f t="shared" si="16"/>
        <v>32.177889000000015</v>
      </c>
      <c r="L136" s="38">
        <v>1.75</v>
      </c>
      <c r="M136" s="30">
        <v>5</v>
      </c>
      <c r="N136" s="28">
        <f t="shared" si="17"/>
        <v>5.4355778000000026</v>
      </c>
      <c r="O136" s="39">
        <f t="shared" si="18"/>
        <v>39.363466800000019</v>
      </c>
    </row>
    <row r="137" spans="1:15" x14ac:dyDescent="0.3">
      <c r="A137" s="31"/>
      <c r="B137" s="20">
        <v>0.60416666666666663</v>
      </c>
      <c r="C137" s="21">
        <v>40.9</v>
      </c>
      <c r="D137" s="33">
        <v>33.4</v>
      </c>
      <c r="E137" s="7">
        <v>26</v>
      </c>
      <c r="F137" s="11">
        <f t="shared" si="13"/>
        <v>7.5</v>
      </c>
      <c r="G137" s="23">
        <f t="shared" si="13"/>
        <v>7.3999999999999986</v>
      </c>
      <c r="H137" s="24">
        <f t="shared" si="14"/>
        <v>50.335570469798661</v>
      </c>
      <c r="I137" s="25">
        <v>2801</v>
      </c>
      <c r="J137" s="26">
        <f t="shared" si="15"/>
        <v>7.5</v>
      </c>
      <c r="K137" s="21">
        <f t="shared" si="16"/>
        <v>32.141475</v>
      </c>
      <c r="L137" s="38">
        <v>1.75</v>
      </c>
      <c r="M137" s="30">
        <v>5</v>
      </c>
      <c r="N137" s="28">
        <f t="shared" si="17"/>
        <v>5.4282950000000003</v>
      </c>
      <c r="O137" s="39">
        <f t="shared" si="18"/>
        <v>39.319769999999998</v>
      </c>
    </row>
    <row r="138" spans="1:15" x14ac:dyDescent="0.3">
      <c r="A138" s="31"/>
      <c r="B138" s="20">
        <v>0.6875</v>
      </c>
      <c r="C138" s="21">
        <v>41.3</v>
      </c>
      <c r="D138" s="33">
        <v>32.200000000000003</v>
      </c>
      <c r="E138" s="7">
        <v>26</v>
      </c>
      <c r="F138" s="11">
        <f t="shared" si="13"/>
        <v>9.0999999999999943</v>
      </c>
      <c r="G138" s="23">
        <f t="shared" si="13"/>
        <v>6.2000000000000028</v>
      </c>
      <c r="H138" s="24">
        <f t="shared" si="14"/>
        <v>59.477124183006516</v>
      </c>
      <c r="I138" s="25">
        <v>2889</v>
      </c>
      <c r="J138" s="26">
        <f t="shared" si="15"/>
        <v>9.0999999999999943</v>
      </c>
      <c r="K138" s="21">
        <f t="shared" si="16"/>
        <v>40.223546999999975</v>
      </c>
      <c r="L138" s="38">
        <v>1.75</v>
      </c>
      <c r="M138" s="30">
        <v>5</v>
      </c>
      <c r="N138" s="28">
        <f t="shared" si="17"/>
        <v>7.044709399999995</v>
      </c>
      <c r="O138" s="39">
        <f t="shared" si="18"/>
        <v>49.01825639999997</v>
      </c>
    </row>
    <row r="139" spans="1:15" x14ac:dyDescent="0.3">
      <c r="A139" s="31"/>
      <c r="B139" s="20">
        <v>0.77083333333333337</v>
      </c>
      <c r="C139" s="21"/>
      <c r="D139" s="33"/>
      <c r="E139" s="7">
        <v>26</v>
      </c>
      <c r="F139" s="11">
        <f t="shared" si="13"/>
        <v>0</v>
      </c>
      <c r="G139" s="23">
        <f t="shared" si="13"/>
        <v>-26</v>
      </c>
      <c r="H139" s="24">
        <f t="shared" si="14"/>
        <v>0</v>
      </c>
      <c r="I139" s="25"/>
      <c r="J139" s="26">
        <f t="shared" si="15"/>
        <v>0</v>
      </c>
      <c r="K139" s="21">
        <f t="shared" si="16"/>
        <v>0</v>
      </c>
      <c r="L139" s="38">
        <v>1.75</v>
      </c>
      <c r="M139" s="30">
        <v>5</v>
      </c>
      <c r="N139" s="28">
        <f t="shared" si="17"/>
        <v>-1</v>
      </c>
      <c r="O139" s="39">
        <f t="shared" si="18"/>
        <v>0.75</v>
      </c>
    </row>
    <row r="140" spans="1:15" x14ac:dyDescent="0.3">
      <c r="A140" s="31"/>
      <c r="B140" s="20">
        <v>0.85416666666666663</v>
      </c>
      <c r="C140" s="21">
        <v>37.9</v>
      </c>
      <c r="D140" s="33">
        <v>31.7</v>
      </c>
      <c r="E140" s="7">
        <v>26</v>
      </c>
      <c r="F140" s="11">
        <f t="shared" si="13"/>
        <v>6.1999999999999993</v>
      </c>
      <c r="G140" s="23">
        <f t="shared" si="13"/>
        <v>5.6999999999999993</v>
      </c>
      <c r="H140" s="24">
        <f t="shared" si="14"/>
        <v>52.100840336134461</v>
      </c>
      <c r="I140" s="25">
        <v>2923</v>
      </c>
      <c r="J140" s="26">
        <f t="shared" si="15"/>
        <v>6.1999999999999993</v>
      </c>
      <c r="K140" s="21">
        <f t="shared" si="16"/>
        <v>27.727577999999994</v>
      </c>
      <c r="L140" s="38">
        <v>1.75</v>
      </c>
      <c r="M140" s="30">
        <v>5</v>
      </c>
      <c r="N140" s="28">
        <f t="shared" si="17"/>
        <v>4.545515599999999</v>
      </c>
      <c r="O140" s="39">
        <f t="shared" si="18"/>
        <v>34.023093599999996</v>
      </c>
    </row>
    <row r="141" spans="1:15" x14ac:dyDescent="0.3">
      <c r="A141" s="31"/>
      <c r="B141" s="20">
        <v>0.9375</v>
      </c>
      <c r="C141" s="21">
        <v>37.4</v>
      </c>
      <c r="D141" s="33">
        <v>31.2</v>
      </c>
      <c r="E141" s="7">
        <v>26</v>
      </c>
      <c r="F141" s="11">
        <f t="shared" si="13"/>
        <v>6.1999999999999993</v>
      </c>
      <c r="G141" s="23">
        <f t="shared" si="13"/>
        <v>5.1999999999999993</v>
      </c>
      <c r="H141" s="24">
        <f t="shared" si="14"/>
        <v>54.385964912280706</v>
      </c>
      <c r="I141" s="25">
        <v>2920</v>
      </c>
      <c r="J141" s="26">
        <f t="shared" si="15"/>
        <v>6.1999999999999993</v>
      </c>
      <c r="K141" s="21">
        <f t="shared" si="16"/>
        <v>27.699119999999997</v>
      </c>
      <c r="L141" s="38">
        <v>1.75</v>
      </c>
      <c r="M141" s="30">
        <v>5</v>
      </c>
      <c r="N141" s="28">
        <f t="shared" si="17"/>
        <v>4.5398239999999994</v>
      </c>
      <c r="O141" s="39">
        <f t="shared" si="18"/>
        <v>33.988943999999996</v>
      </c>
    </row>
    <row r="142" spans="1:15" x14ac:dyDescent="0.3">
      <c r="A142" s="31"/>
      <c r="B142" s="20">
        <v>2.0833333333333332E-2</v>
      </c>
      <c r="C142" s="21">
        <v>41.6</v>
      </c>
      <c r="D142" s="33">
        <v>34.9</v>
      </c>
      <c r="E142" s="7">
        <v>26</v>
      </c>
      <c r="F142" s="11">
        <f t="shared" si="13"/>
        <v>6.7000000000000028</v>
      </c>
      <c r="G142" s="23">
        <f t="shared" si="13"/>
        <v>8.8999999999999986</v>
      </c>
      <c r="H142" s="24">
        <f t="shared" si="14"/>
        <v>42.948717948717963</v>
      </c>
      <c r="I142" s="25">
        <v>2876</v>
      </c>
      <c r="J142" s="26">
        <f t="shared" si="15"/>
        <v>6.7000000000000028</v>
      </c>
      <c r="K142" s="21">
        <f t="shared" si="16"/>
        <v>29.48187600000001</v>
      </c>
      <c r="L142" s="38">
        <v>1.75</v>
      </c>
      <c r="M142" s="30">
        <v>5</v>
      </c>
      <c r="N142" s="28">
        <f t="shared" si="17"/>
        <v>4.8963752000000023</v>
      </c>
      <c r="O142" s="39">
        <f t="shared" si="18"/>
        <v>36.128251200000015</v>
      </c>
    </row>
    <row r="143" spans="1:15" x14ac:dyDescent="0.3">
      <c r="A143" s="31"/>
      <c r="B143" s="20">
        <v>0.10416666666666667</v>
      </c>
      <c r="C143" s="21">
        <v>40.299999999999997</v>
      </c>
      <c r="D143" s="33">
        <v>32.700000000000003</v>
      </c>
      <c r="E143" s="7">
        <v>26</v>
      </c>
      <c r="F143" s="11">
        <f t="shared" si="13"/>
        <v>7.5999999999999943</v>
      </c>
      <c r="G143" s="23">
        <f t="shared" si="13"/>
        <v>6.7000000000000028</v>
      </c>
      <c r="H143" s="24">
        <f t="shared" si="14"/>
        <v>53.146853146853111</v>
      </c>
      <c r="I143" s="25">
        <v>2913</v>
      </c>
      <c r="J143" s="26">
        <f t="shared" si="15"/>
        <v>7.5999999999999943</v>
      </c>
      <c r="K143" s="21">
        <f t="shared" si="16"/>
        <v>33.872363999999969</v>
      </c>
      <c r="L143" s="38">
        <v>1.75</v>
      </c>
      <c r="M143" s="30">
        <v>5</v>
      </c>
      <c r="N143" s="28">
        <f t="shared" si="17"/>
        <v>5.7744727999999936</v>
      </c>
      <c r="O143" s="39">
        <f t="shared" si="18"/>
        <v>41.39683679999996</v>
      </c>
    </row>
    <row r="144" spans="1:15" x14ac:dyDescent="0.3">
      <c r="A144" s="31"/>
      <c r="B144" s="20">
        <v>0.1875</v>
      </c>
      <c r="C144" s="21">
        <v>40.9</v>
      </c>
      <c r="D144" s="33">
        <v>32.9</v>
      </c>
      <c r="E144" s="7">
        <v>26</v>
      </c>
      <c r="F144" s="11">
        <f t="shared" si="13"/>
        <v>8</v>
      </c>
      <c r="G144" s="23">
        <f t="shared" si="13"/>
        <v>6.8999999999999986</v>
      </c>
      <c r="H144" s="24">
        <f t="shared" si="14"/>
        <v>53.691275167785236</v>
      </c>
      <c r="I144" s="25">
        <v>2936</v>
      </c>
      <c r="J144" s="26">
        <f t="shared" si="15"/>
        <v>8</v>
      </c>
      <c r="K144" s="21">
        <f t="shared" si="16"/>
        <v>35.936639999999997</v>
      </c>
      <c r="L144" s="38">
        <v>1.75</v>
      </c>
      <c r="M144" s="30">
        <v>5</v>
      </c>
      <c r="N144" s="28">
        <f t="shared" si="17"/>
        <v>6.1873279999999991</v>
      </c>
      <c r="O144" s="39">
        <f t="shared" si="18"/>
        <v>43.873967999999998</v>
      </c>
    </row>
    <row r="145" spans="1:15" s="3" customFormat="1" x14ac:dyDescent="0.3">
      <c r="A145" s="34"/>
      <c r="B145" s="34"/>
      <c r="C145" s="34"/>
      <c r="D145" s="34"/>
      <c r="E145" s="34"/>
      <c r="F145" s="34"/>
      <c r="G145" s="34" t="s">
        <v>8</v>
      </c>
      <c r="H145" s="34">
        <f>AVERAGE(H133:H144)</f>
        <v>46.56408476064157</v>
      </c>
      <c r="I145" s="34"/>
      <c r="J145" s="34"/>
      <c r="K145" s="34">
        <f>AVERAGE(K133:K144)</f>
        <v>27.936779999999995</v>
      </c>
      <c r="L145" s="34"/>
      <c r="M145" s="34"/>
      <c r="N145" s="34">
        <f>AVERAGE(N133:N144)</f>
        <v>4.5873559999999989</v>
      </c>
      <c r="O145" s="34">
        <f>AVERAGE(O133:O144)</f>
        <v>34.274135999999991</v>
      </c>
    </row>
    <row r="146" spans="1:15" x14ac:dyDescent="0.3">
      <c r="A146" s="19">
        <v>44573</v>
      </c>
      <c r="B146" s="20">
        <v>0.27083333333333331</v>
      </c>
      <c r="C146" s="21">
        <v>40.799999999999997</v>
      </c>
      <c r="D146" s="33">
        <v>33</v>
      </c>
      <c r="E146" s="7">
        <v>26</v>
      </c>
      <c r="F146" s="11">
        <f t="shared" si="13"/>
        <v>7.7999999999999972</v>
      </c>
      <c r="G146" s="23">
        <f t="shared" si="13"/>
        <v>7</v>
      </c>
      <c r="H146" s="24">
        <f t="shared" si="14"/>
        <v>52.702702702702695</v>
      </c>
      <c r="I146" s="25">
        <v>2888</v>
      </c>
      <c r="J146" s="26">
        <f t="shared" si="15"/>
        <v>7.7999999999999972</v>
      </c>
      <c r="K146" s="21">
        <f t="shared" si="16"/>
        <v>34.465391999999987</v>
      </c>
      <c r="L146" s="38">
        <v>1.75</v>
      </c>
      <c r="M146" s="30">
        <v>5</v>
      </c>
      <c r="N146" s="28">
        <f t="shared" si="17"/>
        <v>5.8930783999999976</v>
      </c>
      <c r="O146" s="39">
        <f t="shared" si="18"/>
        <v>42.108470399999987</v>
      </c>
    </row>
    <row r="147" spans="1:15" x14ac:dyDescent="0.3">
      <c r="A147" s="19"/>
      <c r="B147" s="20">
        <v>0.35416666666666669</v>
      </c>
      <c r="C147" s="21">
        <v>40.1</v>
      </c>
      <c r="D147" s="33">
        <v>33.299999999999997</v>
      </c>
      <c r="E147" s="7">
        <v>26</v>
      </c>
      <c r="F147" s="11">
        <f t="shared" si="13"/>
        <v>6.8000000000000043</v>
      </c>
      <c r="G147" s="23">
        <f t="shared" si="13"/>
        <v>7.2999999999999972</v>
      </c>
      <c r="H147" s="24">
        <f t="shared" si="14"/>
        <v>48.226950354609954</v>
      </c>
      <c r="I147" s="25">
        <v>3215</v>
      </c>
      <c r="J147" s="26">
        <f t="shared" si="15"/>
        <v>6.8000000000000043</v>
      </c>
      <c r="K147" s="21">
        <f t="shared" si="16"/>
        <v>33.448860000000018</v>
      </c>
      <c r="L147" s="38">
        <v>1.75</v>
      </c>
      <c r="M147" s="30">
        <v>5</v>
      </c>
      <c r="N147" s="28">
        <f t="shared" si="17"/>
        <v>5.6897720000000032</v>
      </c>
      <c r="O147" s="39">
        <f t="shared" si="18"/>
        <v>40.888632000000023</v>
      </c>
    </row>
    <row r="148" spans="1:15" x14ac:dyDescent="0.3">
      <c r="A148" s="19"/>
      <c r="B148" s="20">
        <v>0.4375</v>
      </c>
      <c r="C148" s="21">
        <v>40.700000000000003</v>
      </c>
      <c r="D148" s="33">
        <v>33.799999999999997</v>
      </c>
      <c r="E148" s="7">
        <v>26</v>
      </c>
      <c r="F148" s="11">
        <f t="shared" si="13"/>
        <v>6.9000000000000057</v>
      </c>
      <c r="G148" s="23">
        <f t="shared" si="13"/>
        <v>7.7999999999999972</v>
      </c>
      <c r="H148" s="24">
        <f t="shared" si="14"/>
        <v>46.93877551020411</v>
      </c>
      <c r="I148" s="25">
        <v>3337</v>
      </c>
      <c r="J148" s="26">
        <f t="shared" si="15"/>
        <v>6.9000000000000057</v>
      </c>
      <c r="K148" s="21">
        <f t="shared" si="16"/>
        <v>35.228709000000023</v>
      </c>
      <c r="L148" s="38">
        <v>1.75</v>
      </c>
      <c r="M148" s="30">
        <v>5</v>
      </c>
      <c r="N148" s="28">
        <f t="shared" si="17"/>
        <v>6.0457418000000045</v>
      </c>
      <c r="O148" s="39">
        <f t="shared" si="18"/>
        <v>43.024450800000025</v>
      </c>
    </row>
    <row r="149" spans="1:15" x14ac:dyDescent="0.3">
      <c r="A149" s="19"/>
      <c r="B149" s="20">
        <v>0.52083333333333337</v>
      </c>
      <c r="C149" s="21">
        <v>41.6</v>
      </c>
      <c r="D149" s="33">
        <v>34.4</v>
      </c>
      <c r="E149" s="7">
        <v>26</v>
      </c>
      <c r="F149" s="11">
        <f t="shared" si="13"/>
        <v>7.2000000000000028</v>
      </c>
      <c r="G149" s="23">
        <f t="shared" si="13"/>
        <v>8.3999999999999986</v>
      </c>
      <c r="H149" s="24">
        <f t="shared" si="14"/>
        <v>46.153846153846168</v>
      </c>
      <c r="I149" s="25">
        <v>3296</v>
      </c>
      <c r="J149" s="26">
        <f t="shared" si="15"/>
        <v>7.2000000000000028</v>
      </c>
      <c r="K149" s="21">
        <f t="shared" si="16"/>
        <v>36.30873600000001</v>
      </c>
      <c r="L149" s="38">
        <v>1.75</v>
      </c>
      <c r="M149" s="30">
        <v>5</v>
      </c>
      <c r="N149" s="28">
        <f t="shared" si="17"/>
        <v>6.2617472000000021</v>
      </c>
      <c r="O149" s="39">
        <f t="shared" si="18"/>
        <v>44.320483200000012</v>
      </c>
    </row>
    <row r="150" spans="1:15" x14ac:dyDescent="0.3">
      <c r="A150" s="19"/>
      <c r="B150" s="20">
        <v>0.60416666666666663</v>
      </c>
      <c r="C150" s="21">
        <v>41.9</v>
      </c>
      <c r="D150" s="33">
        <v>34.799999999999997</v>
      </c>
      <c r="E150" s="7">
        <v>26</v>
      </c>
      <c r="F150" s="11">
        <f t="shared" si="13"/>
        <v>7.1000000000000014</v>
      </c>
      <c r="G150" s="23">
        <f t="shared" si="13"/>
        <v>8.7999999999999972</v>
      </c>
      <c r="H150" s="24">
        <f t="shared" si="14"/>
        <v>44.654088050314478</v>
      </c>
      <c r="I150" s="25">
        <v>3359</v>
      </c>
      <c r="J150" s="26">
        <f t="shared" si="15"/>
        <v>7.1000000000000014</v>
      </c>
      <c r="K150" s="21">
        <f t="shared" si="16"/>
        <v>36.488817000000004</v>
      </c>
      <c r="L150" s="38">
        <v>1.75</v>
      </c>
      <c r="M150" s="30">
        <v>5</v>
      </c>
      <c r="N150" s="28">
        <f t="shared" si="17"/>
        <v>6.2977634000000009</v>
      </c>
      <c r="O150" s="39">
        <f t="shared" si="18"/>
        <v>44.536580400000005</v>
      </c>
    </row>
    <row r="151" spans="1:15" x14ac:dyDescent="0.3">
      <c r="A151" s="19"/>
      <c r="B151" s="20">
        <v>0.6875</v>
      </c>
      <c r="C151" s="21">
        <v>42.1</v>
      </c>
      <c r="D151" s="33">
        <v>35</v>
      </c>
      <c r="E151" s="7">
        <v>26</v>
      </c>
      <c r="F151" s="11">
        <f t="shared" si="13"/>
        <v>7.1000000000000014</v>
      </c>
      <c r="G151" s="23">
        <f t="shared" si="13"/>
        <v>9</v>
      </c>
      <c r="H151" s="24">
        <f t="shared" si="14"/>
        <v>44.099378881987583</v>
      </c>
      <c r="I151" s="25">
        <v>3416</v>
      </c>
      <c r="J151" s="26">
        <f t="shared" si="15"/>
        <v>7.1000000000000014</v>
      </c>
      <c r="K151" s="21">
        <f t="shared" si="16"/>
        <v>37.108008000000005</v>
      </c>
      <c r="L151" s="38">
        <v>1.75</v>
      </c>
      <c r="M151" s="30">
        <v>5</v>
      </c>
      <c r="N151" s="28">
        <f t="shared" si="17"/>
        <v>6.4216016000000007</v>
      </c>
      <c r="O151" s="39">
        <f t="shared" si="18"/>
        <v>45.279609600000008</v>
      </c>
    </row>
    <row r="152" spans="1:15" x14ac:dyDescent="0.3">
      <c r="A152" s="19"/>
      <c r="B152" s="20">
        <v>0.77083333333333337</v>
      </c>
      <c r="C152" s="21">
        <v>41.1</v>
      </c>
      <c r="D152" s="33">
        <v>34</v>
      </c>
      <c r="E152" s="7">
        <v>26</v>
      </c>
      <c r="F152" s="11">
        <f t="shared" si="13"/>
        <v>7.1000000000000014</v>
      </c>
      <c r="G152" s="23">
        <f t="shared" si="13"/>
        <v>8</v>
      </c>
      <c r="H152" s="24">
        <f t="shared" si="14"/>
        <v>47.019867549668881</v>
      </c>
      <c r="I152" s="25">
        <v>3316</v>
      </c>
      <c r="J152" s="26">
        <f t="shared" si="15"/>
        <v>7.1000000000000014</v>
      </c>
      <c r="K152" s="21">
        <f t="shared" si="16"/>
        <v>36.021708000000004</v>
      </c>
      <c r="L152" s="38">
        <v>1.75</v>
      </c>
      <c r="M152" s="30">
        <v>5</v>
      </c>
      <c r="N152" s="28">
        <f t="shared" si="17"/>
        <v>6.2043416000000011</v>
      </c>
      <c r="O152" s="39">
        <f t="shared" si="18"/>
        <v>43.976049600000003</v>
      </c>
    </row>
    <row r="153" spans="1:15" x14ac:dyDescent="0.3">
      <c r="A153" s="19"/>
      <c r="B153" s="20">
        <v>0.85416666666666663</v>
      </c>
      <c r="C153" s="21">
        <v>40.6</v>
      </c>
      <c r="D153" s="33">
        <v>33.1</v>
      </c>
      <c r="E153" s="7">
        <v>26</v>
      </c>
      <c r="F153" s="11">
        <f t="shared" si="13"/>
        <v>7.5</v>
      </c>
      <c r="G153" s="23">
        <f t="shared" si="13"/>
        <v>7.1000000000000014</v>
      </c>
      <c r="H153" s="24">
        <f t="shared" si="14"/>
        <v>51.369863013698627</v>
      </c>
      <c r="I153" s="25">
        <v>3321</v>
      </c>
      <c r="J153" s="26">
        <f t="shared" si="15"/>
        <v>7.5</v>
      </c>
      <c r="K153" s="21">
        <f t="shared" si="16"/>
        <v>38.108474999999999</v>
      </c>
      <c r="L153" s="38">
        <v>1.75</v>
      </c>
      <c r="M153" s="30">
        <v>5</v>
      </c>
      <c r="N153" s="28">
        <f t="shared" si="17"/>
        <v>6.6216949999999999</v>
      </c>
      <c r="O153" s="39">
        <f t="shared" si="18"/>
        <v>46.480170000000001</v>
      </c>
    </row>
    <row r="154" spans="1:15" x14ac:dyDescent="0.3">
      <c r="A154" s="19"/>
      <c r="B154" s="20">
        <v>0.9375</v>
      </c>
      <c r="C154" s="21">
        <v>40.200000000000003</v>
      </c>
      <c r="D154" s="33">
        <v>33.6</v>
      </c>
      <c r="E154" s="7">
        <v>26</v>
      </c>
      <c r="F154" s="11">
        <f t="shared" si="13"/>
        <v>6.6000000000000014</v>
      </c>
      <c r="G154" s="23">
        <f t="shared" si="13"/>
        <v>7.6000000000000014</v>
      </c>
      <c r="H154" s="24">
        <f t="shared" si="14"/>
        <v>46.478873239436616</v>
      </c>
      <c r="I154" s="25">
        <v>3300</v>
      </c>
      <c r="J154" s="26">
        <f t="shared" si="15"/>
        <v>6.6000000000000014</v>
      </c>
      <c r="K154" s="21">
        <f t="shared" si="16"/>
        <v>33.323400000000007</v>
      </c>
      <c r="L154" s="38">
        <v>1.75</v>
      </c>
      <c r="M154" s="30">
        <v>5</v>
      </c>
      <c r="N154" s="28">
        <f t="shared" si="17"/>
        <v>5.6646800000000015</v>
      </c>
      <c r="O154" s="39">
        <f t="shared" si="18"/>
        <v>40.738080000000011</v>
      </c>
    </row>
    <row r="155" spans="1:15" x14ac:dyDescent="0.3">
      <c r="A155" s="19"/>
      <c r="B155" s="20">
        <v>2.0833333333333332E-2</v>
      </c>
      <c r="C155" s="21">
        <v>40.200000000000003</v>
      </c>
      <c r="D155" s="33">
        <v>33.6</v>
      </c>
      <c r="E155" s="7">
        <v>26</v>
      </c>
      <c r="F155" s="11">
        <f t="shared" si="13"/>
        <v>6.6000000000000014</v>
      </c>
      <c r="G155" s="23">
        <f t="shared" si="13"/>
        <v>7.6000000000000014</v>
      </c>
      <c r="H155" s="24">
        <f t="shared" si="14"/>
        <v>46.478873239436616</v>
      </c>
      <c r="I155" s="25">
        <v>3401</v>
      </c>
      <c r="J155" s="26">
        <f t="shared" si="15"/>
        <v>6.6000000000000014</v>
      </c>
      <c r="K155" s="21">
        <f t="shared" si="16"/>
        <v>34.343298000000004</v>
      </c>
      <c r="L155" s="38">
        <v>1.75</v>
      </c>
      <c r="M155" s="30">
        <v>5</v>
      </c>
      <c r="N155" s="28">
        <f t="shared" si="17"/>
        <v>5.8686596000000009</v>
      </c>
      <c r="O155" s="39">
        <f t="shared" si="18"/>
        <v>41.961957600000005</v>
      </c>
    </row>
    <row r="156" spans="1:15" x14ac:dyDescent="0.3">
      <c r="A156" s="19"/>
      <c r="B156" s="20">
        <v>0.10416666666666667</v>
      </c>
      <c r="C156" s="21">
        <v>40.5</v>
      </c>
      <c r="D156" s="33">
        <v>33.299999999999997</v>
      </c>
      <c r="E156" s="7">
        <v>26</v>
      </c>
      <c r="F156" s="11">
        <f t="shared" si="13"/>
        <v>7.2000000000000028</v>
      </c>
      <c r="G156" s="23">
        <f t="shared" si="13"/>
        <v>7.2999999999999972</v>
      </c>
      <c r="H156" s="24">
        <f t="shared" si="14"/>
        <v>49.655172413793125</v>
      </c>
      <c r="I156" s="25">
        <v>3360</v>
      </c>
      <c r="J156" s="26">
        <f t="shared" si="15"/>
        <v>7.2000000000000028</v>
      </c>
      <c r="K156" s="21">
        <f t="shared" si="16"/>
        <v>37.013760000000012</v>
      </c>
      <c r="L156" s="38">
        <v>1.75</v>
      </c>
      <c r="M156" s="30">
        <v>5</v>
      </c>
      <c r="N156" s="28">
        <f t="shared" si="17"/>
        <v>6.4027520000000022</v>
      </c>
      <c r="O156" s="39">
        <f t="shared" si="18"/>
        <v>45.166512000000012</v>
      </c>
    </row>
    <row r="157" spans="1:15" x14ac:dyDescent="0.3">
      <c r="A157" s="19"/>
      <c r="B157" s="20">
        <v>0.1875</v>
      </c>
      <c r="C157" s="21">
        <v>39.200000000000003</v>
      </c>
      <c r="D157" s="33">
        <v>33.200000000000003</v>
      </c>
      <c r="E157" s="7">
        <v>26</v>
      </c>
      <c r="F157" s="11">
        <f t="shared" si="13"/>
        <v>6</v>
      </c>
      <c r="G157" s="23">
        <f t="shared" si="13"/>
        <v>7.2000000000000028</v>
      </c>
      <c r="H157" s="24">
        <f t="shared" si="14"/>
        <v>45.454545454545446</v>
      </c>
      <c r="I157" s="25">
        <v>3379</v>
      </c>
      <c r="J157" s="26">
        <f t="shared" si="15"/>
        <v>6</v>
      </c>
      <c r="K157" s="21">
        <f t="shared" si="16"/>
        <v>31.019219999999997</v>
      </c>
      <c r="L157" s="38">
        <v>1.75</v>
      </c>
      <c r="M157" s="30">
        <v>5</v>
      </c>
      <c r="N157" s="28">
        <f t="shared" si="17"/>
        <v>5.2038439999999992</v>
      </c>
      <c r="O157" s="39">
        <f t="shared" si="18"/>
        <v>37.973063999999994</v>
      </c>
    </row>
    <row r="158" spans="1:15" s="3" customFormat="1" x14ac:dyDescent="0.3">
      <c r="A158" s="34"/>
      <c r="B158" s="34"/>
      <c r="C158" s="34"/>
      <c r="D158" s="34"/>
      <c r="E158" s="34"/>
      <c r="F158" s="34"/>
      <c r="G158" s="34" t="s">
        <v>8</v>
      </c>
      <c r="H158" s="34">
        <f>AVERAGE(H146:H157)</f>
        <v>47.436078047020366</v>
      </c>
      <c r="I158" s="34"/>
      <c r="J158" s="34"/>
      <c r="K158" s="34">
        <f>AVERAGE(K146:K157)</f>
        <v>35.239865250000001</v>
      </c>
      <c r="L158" s="34"/>
      <c r="M158" s="34"/>
      <c r="N158" s="34">
        <f>AVERAGE(N146:N157)</f>
        <v>6.0479730500000022</v>
      </c>
      <c r="O158" s="34">
        <f>AVERAGE(O146:O157)</f>
        <v>43.037838300000004</v>
      </c>
    </row>
    <row r="159" spans="1:15" x14ac:dyDescent="0.3">
      <c r="A159" s="19">
        <v>44574</v>
      </c>
      <c r="B159" s="20">
        <v>0.27083333333333331</v>
      </c>
      <c r="C159" s="21">
        <v>38.200000000000003</v>
      </c>
      <c r="D159" s="33">
        <v>32.200000000000003</v>
      </c>
      <c r="E159" s="7">
        <v>26</v>
      </c>
      <c r="F159" s="11">
        <f t="shared" si="13"/>
        <v>6</v>
      </c>
      <c r="G159" s="23">
        <f t="shared" si="13"/>
        <v>6.2000000000000028</v>
      </c>
      <c r="H159" s="24">
        <f t="shared" si="14"/>
        <v>49.180327868852444</v>
      </c>
      <c r="I159" s="25">
        <v>3395</v>
      </c>
      <c r="J159" s="26">
        <f t="shared" si="15"/>
        <v>6</v>
      </c>
      <c r="K159" s="21">
        <f t="shared" si="16"/>
        <v>31.1661</v>
      </c>
      <c r="L159" s="38">
        <v>1.75</v>
      </c>
      <c r="M159" s="30">
        <v>5</v>
      </c>
      <c r="N159" s="28">
        <f t="shared" si="17"/>
        <v>5.2332200000000002</v>
      </c>
      <c r="O159" s="39">
        <f t="shared" si="18"/>
        <v>38.149320000000003</v>
      </c>
    </row>
    <row r="160" spans="1:15" x14ac:dyDescent="0.3">
      <c r="A160" s="31"/>
      <c r="B160" s="20">
        <v>0.35416666666666669</v>
      </c>
      <c r="C160" s="21">
        <v>38.799999999999997</v>
      </c>
      <c r="D160" s="33">
        <v>32.5</v>
      </c>
      <c r="E160" s="7">
        <v>26</v>
      </c>
      <c r="F160" s="11">
        <f t="shared" si="13"/>
        <v>6.2999999999999972</v>
      </c>
      <c r="G160" s="23">
        <f t="shared" si="13"/>
        <v>6.5</v>
      </c>
      <c r="H160" s="24">
        <f t="shared" si="14"/>
        <v>49.218749999999986</v>
      </c>
      <c r="I160" s="25">
        <v>3458</v>
      </c>
      <c r="J160" s="26">
        <f t="shared" si="15"/>
        <v>6.2999999999999972</v>
      </c>
      <c r="K160" s="21">
        <f t="shared" si="16"/>
        <v>33.33166199999998</v>
      </c>
      <c r="L160" s="38">
        <v>1.75</v>
      </c>
      <c r="M160" s="30">
        <v>5</v>
      </c>
      <c r="N160" s="28">
        <f t="shared" si="17"/>
        <v>5.6663323999999964</v>
      </c>
      <c r="O160" s="39">
        <f t="shared" si="18"/>
        <v>40.747994399999975</v>
      </c>
    </row>
    <row r="161" spans="1:15" x14ac:dyDescent="0.3">
      <c r="A161" s="31"/>
      <c r="B161" s="20">
        <v>0.4375</v>
      </c>
      <c r="C161" s="21">
        <v>40.799999999999997</v>
      </c>
      <c r="D161" s="33">
        <v>33.9</v>
      </c>
      <c r="E161" s="7">
        <v>26</v>
      </c>
      <c r="F161" s="11">
        <f t="shared" si="13"/>
        <v>6.8999999999999986</v>
      </c>
      <c r="G161" s="23">
        <f t="shared" si="13"/>
        <v>7.8999999999999986</v>
      </c>
      <c r="H161" s="24">
        <f t="shared" si="14"/>
        <v>46.621621621621621</v>
      </c>
      <c r="I161" s="25">
        <v>3490</v>
      </c>
      <c r="J161" s="26">
        <f t="shared" si="15"/>
        <v>6.8999999999999986</v>
      </c>
      <c r="K161" s="21">
        <f t="shared" si="16"/>
        <v>36.843929999999993</v>
      </c>
      <c r="L161" s="38">
        <v>1.75</v>
      </c>
      <c r="M161" s="30">
        <v>5</v>
      </c>
      <c r="N161" s="28">
        <f t="shared" si="17"/>
        <v>6.3687859999999983</v>
      </c>
      <c r="O161" s="39">
        <f t="shared" si="18"/>
        <v>44.962715999999993</v>
      </c>
    </row>
    <row r="162" spans="1:15" x14ac:dyDescent="0.3">
      <c r="A162" s="31"/>
      <c r="B162" s="20">
        <v>0.52083333333333337</v>
      </c>
      <c r="C162" s="21">
        <v>41.4</v>
      </c>
      <c r="D162" s="33">
        <v>34.4</v>
      </c>
      <c r="E162" s="7">
        <v>26</v>
      </c>
      <c r="F162" s="11">
        <f t="shared" si="13"/>
        <v>7</v>
      </c>
      <c r="G162" s="23">
        <f t="shared" si="13"/>
        <v>8.3999999999999986</v>
      </c>
      <c r="H162" s="24">
        <f t="shared" si="14"/>
        <v>45.45454545454546</v>
      </c>
      <c r="I162" s="25">
        <v>3397</v>
      </c>
      <c r="J162" s="26">
        <f t="shared" si="15"/>
        <v>7</v>
      </c>
      <c r="K162" s="21">
        <f t="shared" si="16"/>
        <v>36.381869999999999</v>
      </c>
      <c r="L162" s="38">
        <v>1.75</v>
      </c>
      <c r="M162" s="30">
        <v>5</v>
      </c>
      <c r="N162" s="28">
        <f t="shared" si="17"/>
        <v>6.2763739999999997</v>
      </c>
      <c r="O162" s="39">
        <f t="shared" si="18"/>
        <v>44.408243999999996</v>
      </c>
    </row>
    <row r="163" spans="1:15" x14ac:dyDescent="0.3">
      <c r="A163" s="31"/>
      <c r="B163" s="20">
        <v>0.60416666666666663</v>
      </c>
      <c r="C163" s="21">
        <v>40.5</v>
      </c>
      <c r="D163" s="33">
        <v>33.6</v>
      </c>
      <c r="E163" s="7">
        <v>26</v>
      </c>
      <c r="F163" s="11">
        <f t="shared" si="13"/>
        <v>6.8999999999999986</v>
      </c>
      <c r="G163" s="23">
        <f t="shared" si="13"/>
        <v>7.6000000000000014</v>
      </c>
      <c r="H163" s="24">
        <f t="shared" si="14"/>
        <v>47.586206896551715</v>
      </c>
      <c r="I163" s="25">
        <v>3356</v>
      </c>
      <c r="J163" s="26">
        <f t="shared" si="15"/>
        <v>6.8999999999999986</v>
      </c>
      <c r="K163" s="21">
        <f t="shared" si="16"/>
        <v>35.42929199999999</v>
      </c>
      <c r="L163" s="38">
        <v>1.75</v>
      </c>
      <c r="M163" s="30">
        <v>5</v>
      </c>
      <c r="N163" s="28">
        <f t="shared" si="17"/>
        <v>6.0858583999999976</v>
      </c>
      <c r="O163" s="39">
        <f t="shared" si="18"/>
        <v>43.265150399999989</v>
      </c>
    </row>
    <row r="164" spans="1:15" x14ac:dyDescent="0.3">
      <c r="A164" s="31"/>
      <c r="B164" s="20">
        <v>0.6875</v>
      </c>
      <c r="C164" s="21">
        <v>40.1</v>
      </c>
      <c r="D164" s="33">
        <v>33.1</v>
      </c>
      <c r="E164" s="7">
        <v>26</v>
      </c>
      <c r="F164" s="11">
        <f t="shared" si="13"/>
        <v>7</v>
      </c>
      <c r="G164" s="23">
        <f t="shared" si="13"/>
        <v>7.1000000000000014</v>
      </c>
      <c r="H164" s="24">
        <f t="shared" si="14"/>
        <v>49.645390070921977</v>
      </c>
      <c r="I164" s="25">
        <v>3354</v>
      </c>
      <c r="J164" s="26">
        <f t="shared" si="15"/>
        <v>7</v>
      </c>
      <c r="K164" s="21">
        <f t="shared" si="16"/>
        <v>35.921340000000001</v>
      </c>
      <c r="L164" s="38">
        <v>1.75</v>
      </c>
      <c r="M164" s="30">
        <v>5</v>
      </c>
      <c r="N164" s="28">
        <f t="shared" si="17"/>
        <v>6.1842680000000003</v>
      </c>
      <c r="O164" s="39">
        <f t="shared" si="18"/>
        <v>43.855608000000004</v>
      </c>
    </row>
    <row r="165" spans="1:15" x14ac:dyDescent="0.3">
      <c r="A165" s="31"/>
      <c r="B165" s="20">
        <v>0.77083333333333337</v>
      </c>
      <c r="C165" s="21">
        <v>39.200000000000003</v>
      </c>
      <c r="D165" s="33">
        <v>39.700000000000003</v>
      </c>
      <c r="E165" s="7">
        <v>26</v>
      </c>
      <c r="F165" s="11">
        <f t="shared" si="13"/>
        <v>-0.5</v>
      </c>
      <c r="G165" s="23">
        <f t="shared" si="13"/>
        <v>13.700000000000003</v>
      </c>
      <c r="H165" s="24">
        <f t="shared" si="14"/>
        <v>-3.7878787878787872</v>
      </c>
      <c r="I165" s="25">
        <v>3351</v>
      </c>
      <c r="J165" s="26">
        <f t="shared" si="15"/>
        <v>-0.5</v>
      </c>
      <c r="K165" s="21">
        <f t="shared" si="16"/>
        <v>-2.5635149999999998</v>
      </c>
      <c r="L165" s="38">
        <v>1.75</v>
      </c>
      <c r="M165" s="30">
        <v>5</v>
      </c>
      <c r="N165" s="28">
        <f t="shared" si="17"/>
        <v>-1.5127029999999999</v>
      </c>
      <c r="O165" s="39">
        <f t="shared" si="18"/>
        <v>-2.3262179999999999</v>
      </c>
    </row>
    <row r="166" spans="1:15" x14ac:dyDescent="0.3">
      <c r="A166" s="31"/>
      <c r="B166" s="20">
        <v>0.85416666666666663</v>
      </c>
      <c r="C166" s="21">
        <v>39.1</v>
      </c>
      <c r="D166" s="33">
        <v>32.799999999999997</v>
      </c>
      <c r="E166" s="7">
        <v>26</v>
      </c>
      <c r="F166" s="11">
        <f t="shared" si="13"/>
        <v>6.3000000000000043</v>
      </c>
      <c r="G166" s="23">
        <f t="shared" si="13"/>
        <v>6.7999999999999972</v>
      </c>
      <c r="H166" s="24">
        <f t="shared" si="14"/>
        <v>48.091603053435136</v>
      </c>
      <c r="I166" s="25">
        <v>3460</v>
      </c>
      <c r="J166" s="26">
        <f t="shared" si="15"/>
        <v>6.3000000000000043</v>
      </c>
      <c r="K166" s="21">
        <f t="shared" si="16"/>
        <v>33.350940000000023</v>
      </c>
      <c r="L166" s="38">
        <v>1.75</v>
      </c>
      <c r="M166" s="30">
        <v>5</v>
      </c>
      <c r="N166" s="28">
        <f t="shared" si="17"/>
        <v>5.6701880000000049</v>
      </c>
      <c r="O166" s="39">
        <f t="shared" si="18"/>
        <v>40.771128000000026</v>
      </c>
    </row>
    <row r="167" spans="1:15" x14ac:dyDescent="0.3">
      <c r="A167" s="31"/>
      <c r="B167" s="20">
        <v>0.9375</v>
      </c>
      <c r="C167" s="21">
        <v>39.4</v>
      </c>
      <c r="D167" s="33">
        <v>32.700000000000003</v>
      </c>
      <c r="E167" s="7">
        <v>26</v>
      </c>
      <c r="F167" s="11">
        <f t="shared" si="13"/>
        <v>6.6999999999999957</v>
      </c>
      <c r="G167" s="23">
        <f t="shared" si="13"/>
        <v>6.7000000000000028</v>
      </c>
      <c r="H167" s="24">
        <f t="shared" si="14"/>
        <v>49.999999999999972</v>
      </c>
      <c r="I167" s="25">
        <v>3406</v>
      </c>
      <c r="J167" s="26">
        <f t="shared" si="15"/>
        <v>6.6999999999999957</v>
      </c>
      <c r="K167" s="21">
        <f t="shared" si="16"/>
        <v>34.914905999999974</v>
      </c>
      <c r="L167" s="38">
        <v>1.75</v>
      </c>
      <c r="M167" s="30">
        <v>5</v>
      </c>
      <c r="N167" s="28">
        <f t="shared" si="17"/>
        <v>5.9829811999999949</v>
      </c>
      <c r="O167" s="39">
        <f t="shared" si="18"/>
        <v>42.647887199999971</v>
      </c>
    </row>
    <row r="168" spans="1:15" x14ac:dyDescent="0.3">
      <c r="A168" s="31"/>
      <c r="B168" s="20">
        <v>2.0833333333333332E-2</v>
      </c>
      <c r="C168" s="21">
        <v>39.5</v>
      </c>
      <c r="D168" s="33">
        <v>32.6</v>
      </c>
      <c r="E168" s="7">
        <v>26</v>
      </c>
      <c r="F168" s="11">
        <f t="shared" si="13"/>
        <v>6.8999999999999986</v>
      </c>
      <c r="G168" s="23">
        <f t="shared" si="13"/>
        <v>6.6000000000000014</v>
      </c>
      <c r="H168" s="24">
        <f t="shared" si="14"/>
        <v>51.111111111111093</v>
      </c>
      <c r="I168" s="25">
        <v>3279</v>
      </c>
      <c r="J168" s="26">
        <f t="shared" si="15"/>
        <v>6.8999999999999986</v>
      </c>
      <c r="K168" s="21">
        <f t="shared" si="16"/>
        <v>34.616402999999991</v>
      </c>
      <c r="L168" s="38">
        <v>1.75</v>
      </c>
      <c r="M168" s="30">
        <v>5</v>
      </c>
      <c r="N168" s="28">
        <f t="shared" si="17"/>
        <v>5.9232805999999982</v>
      </c>
      <c r="O168" s="39">
        <f t="shared" si="18"/>
        <v>42.289683599999989</v>
      </c>
    </row>
    <row r="169" spans="1:15" x14ac:dyDescent="0.3">
      <c r="A169" s="31"/>
      <c r="B169" s="20">
        <v>0.10416666666666667</v>
      </c>
      <c r="C169" s="21">
        <v>39.9</v>
      </c>
      <c r="D169" s="33">
        <v>32.799999999999997</v>
      </c>
      <c r="E169" s="7">
        <v>26</v>
      </c>
      <c r="F169" s="11">
        <f t="shared" si="13"/>
        <v>7.1000000000000014</v>
      </c>
      <c r="G169" s="23">
        <f t="shared" si="13"/>
        <v>6.7999999999999972</v>
      </c>
      <c r="H169" s="24">
        <f t="shared" si="14"/>
        <v>51.079136690647495</v>
      </c>
      <c r="I169" s="25">
        <v>3317</v>
      </c>
      <c r="J169" s="26">
        <f t="shared" si="15"/>
        <v>7.1000000000000014</v>
      </c>
      <c r="K169" s="21">
        <f t="shared" si="16"/>
        <v>36.032571000000004</v>
      </c>
      <c r="L169" s="38">
        <v>1.75</v>
      </c>
      <c r="M169" s="30">
        <v>5</v>
      </c>
      <c r="N169" s="28">
        <f t="shared" si="17"/>
        <v>6.2065142000000009</v>
      </c>
      <c r="O169" s="39">
        <f t="shared" si="18"/>
        <v>43.989085200000005</v>
      </c>
    </row>
    <row r="170" spans="1:15" x14ac:dyDescent="0.3">
      <c r="A170" s="31"/>
      <c r="B170" s="20">
        <v>0.1875</v>
      </c>
      <c r="C170" s="21">
        <v>39.200000000000003</v>
      </c>
      <c r="D170" s="33">
        <v>32.5</v>
      </c>
      <c r="E170" s="7">
        <v>26</v>
      </c>
      <c r="F170" s="11">
        <f t="shared" si="13"/>
        <v>6.7000000000000028</v>
      </c>
      <c r="G170" s="23">
        <f t="shared" si="13"/>
        <v>6.5</v>
      </c>
      <c r="H170" s="24">
        <f t="shared" si="14"/>
        <v>50.757575757575765</v>
      </c>
      <c r="I170" s="25">
        <v>3189</v>
      </c>
      <c r="J170" s="26">
        <f t="shared" si="15"/>
        <v>6.7000000000000028</v>
      </c>
      <c r="K170" s="21">
        <f t="shared" si="16"/>
        <v>32.690439000000012</v>
      </c>
      <c r="L170" s="38">
        <v>1.75</v>
      </c>
      <c r="M170" s="30">
        <v>5</v>
      </c>
      <c r="N170" s="28">
        <f t="shared" si="17"/>
        <v>5.5380878000000022</v>
      </c>
      <c r="O170" s="39">
        <f t="shared" si="18"/>
        <v>39.978526800000012</v>
      </c>
    </row>
    <row r="171" spans="1:15" s="3" customFormat="1" x14ac:dyDescent="0.3">
      <c r="A171" s="34"/>
      <c r="B171" s="34"/>
      <c r="C171" s="34"/>
      <c r="D171" s="34"/>
      <c r="E171" s="34"/>
      <c r="F171" s="34"/>
      <c r="G171" s="34" t="s">
        <v>8</v>
      </c>
      <c r="H171" s="34">
        <f>AVERAGE(H159:H170)</f>
        <v>44.579865811448656</v>
      </c>
      <c r="I171" s="34"/>
      <c r="J171" s="34"/>
      <c r="K171" s="34">
        <f>AVERAGE(K159:K170)</f>
        <v>31.509661499999996</v>
      </c>
      <c r="L171" s="34"/>
      <c r="M171" s="34"/>
      <c r="N171" s="34">
        <f>AVERAGE(N159:N170)</f>
        <v>5.3019322999999998</v>
      </c>
      <c r="O171" s="34">
        <f>AVERAGE(O159:O170)</f>
        <v>38.56159379999999</v>
      </c>
    </row>
    <row r="172" spans="1:15" x14ac:dyDescent="0.3">
      <c r="A172" s="19">
        <v>44575</v>
      </c>
      <c r="B172" s="20">
        <v>0.27083333333333331</v>
      </c>
      <c r="C172" s="21">
        <v>38.799999999999997</v>
      </c>
      <c r="D172" s="33">
        <v>32.6</v>
      </c>
      <c r="E172" s="7">
        <v>26</v>
      </c>
      <c r="F172" s="11">
        <f t="shared" si="13"/>
        <v>6.1999999999999957</v>
      </c>
      <c r="G172" s="23">
        <f t="shared" si="13"/>
        <v>6.6000000000000014</v>
      </c>
      <c r="H172" s="24">
        <f t="shared" si="14"/>
        <v>48.437499999999979</v>
      </c>
      <c r="I172" s="25">
        <v>3258</v>
      </c>
      <c r="J172" s="26">
        <f t="shared" si="15"/>
        <v>6.1999999999999957</v>
      </c>
      <c r="K172" s="21">
        <f t="shared" si="16"/>
        <v>30.905387999999977</v>
      </c>
      <c r="L172" s="38">
        <v>1.75</v>
      </c>
      <c r="M172" s="30">
        <v>5</v>
      </c>
      <c r="N172" s="28">
        <f t="shared" si="17"/>
        <v>5.1810775999999956</v>
      </c>
      <c r="O172" s="39">
        <f t="shared" si="18"/>
        <v>37.836465599999968</v>
      </c>
    </row>
    <row r="173" spans="1:15" x14ac:dyDescent="0.3">
      <c r="A173" s="19"/>
      <c r="B173" s="20">
        <v>0.35416666666666669</v>
      </c>
      <c r="C173" s="21">
        <v>39.5</v>
      </c>
      <c r="D173" s="33">
        <v>32.9</v>
      </c>
      <c r="E173" s="7">
        <v>26</v>
      </c>
      <c r="F173" s="11">
        <f t="shared" si="13"/>
        <v>6.6000000000000014</v>
      </c>
      <c r="G173" s="23">
        <f t="shared" si="13"/>
        <v>6.8999999999999986</v>
      </c>
      <c r="H173" s="24">
        <f t="shared" si="14"/>
        <v>48.8888888888889</v>
      </c>
      <c r="I173" s="25">
        <v>3332</v>
      </c>
      <c r="J173" s="26">
        <f t="shared" si="15"/>
        <v>6.6000000000000014</v>
      </c>
      <c r="K173" s="21">
        <f t="shared" si="16"/>
        <v>33.646536000000005</v>
      </c>
      <c r="L173" s="38">
        <v>1.75</v>
      </c>
      <c r="M173" s="30">
        <v>5</v>
      </c>
      <c r="N173" s="28">
        <f t="shared" si="17"/>
        <v>5.7293072000000009</v>
      </c>
      <c r="O173" s="39">
        <f t="shared" si="18"/>
        <v>41.125843200000006</v>
      </c>
    </row>
    <row r="174" spans="1:15" x14ac:dyDescent="0.3">
      <c r="A174" s="19"/>
      <c r="B174" s="20">
        <v>0.4375</v>
      </c>
      <c r="C174" s="21">
        <v>39.9</v>
      </c>
      <c r="D174" s="33">
        <v>33.299999999999997</v>
      </c>
      <c r="E174" s="7">
        <v>26</v>
      </c>
      <c r="F174" s="11">
        <f t="shared" si="13"/>
        <v>6.6000000000000014</v>
      </c>
      <c r="G174" s="23">
        <f t="shared" si="13"/>
        <v>7.2999999999999972</v>
      </c>
      <c r="H174" s="24">
        <f t="shared" si="14"/>
        <v>47.482014388489226</v>
      </c>
      <c r="I174" s="25">
        <v>3328</v>
      </c>
      <c r="J174" s="26">
        <f t="shared" si="15"/>
        <v>6.6000000000000014</v>
      </c>
      <c r="K174" s="21">
        <f t="shared" si="16"/>
        <v>33.606144</v>
      </c>
      <c r="L174" s="38">
        <v>1.75</v>
      </c>
      <c r="M174" s="30">
        <v>5</v>
      </c>
      <c r="N174" s="28">
        <f t="shared" si="17"/>
        <v>5.7212288000000004</v>
      </c>
      <c r="O174" s="39">
        <f t="shared" si="18"/>
        <v>41.077372799999999</v>
      </c>
    </row>
    <row r="175" spans="1:15" x14ac:dyDescent="0.3">
      <c r="A175" s="19"/>
      <c r="B175" s="20">
        <v>0.52083333333333337</v>
      </c>
      <c r="C175" s="21">
        <v>41.3</v>
      </c>
      <c r="D175" s="33">
        <v>34.4</v>
      </c>
      <c r="E175" s="7">
        <v>26</v>
      </c>
      <c r="F175" s="11">
        <f t="shared" si="13"/>
        <v>6.8999999999999986</v>
      </c>
      <c r="G175" s="23">
        <f t="shared" si="13"/>
        <v>8.3999999999999986</v>
      </c>
      <c r="H175" s="24">
        <f t="shared" si="14"/>
        <v>45.098039215686278</v>
      </c>
      <c r="I175" s="25">
        <v>3276</v>
      </c>
      <c r="J175" s="26">
        <f t="shared" si="15"/>
        <v>6.8999999999999986</v>
      </c>
      <c r="K175" s="21">
        <f t="shared" si="16"/>
        <v>34.584731999999988</v>
      </c>
      <c r="L175" s="38">
        <v>1.75</v>
      </c>
      <c r="M175" s="30">
        <v>5</v>
      </c>
      <c r="N175" s="28">
        <f t="shared" si="17"/>
        <v>5.9169463999999978</v>
      </c>
      <c r="O175" s="39">
        <f t="shared" si="18"/>
        <v>42.251678399999989</v>
      </c>
    </row>
    <row r="176" spans="1:15" x14ac:dyDescent="0.3">
      <c r="A176" s="19"/>
      <c r="B176" s="20">
        <v>0.60416666666666663</v>
      </c>
      <c r="C176" s="21">
        <v>41.6</v>
      </c>
      <c r="D176" s="33">
        <v>34.700000000000003</v>
      </c>
      <c r="E176" s="7">
        <v>26</v>
      </c>
      <c r="F176" s="11">
        <f t="shared" si="13"/>
        <v>6.8999999999999986</v>
      </c>
      <c r="G176" s="23">
        <f t="shared" si="13"/>
        <v>8.7000000000000028</v>
      </c>
      <c r="H176" s="24">
        <f t="shared" si="14"/>
        <v>44.230769230769219</v>
      </c>
      <c r="I176" s="25">
        <v>3314</v>
      </c>
      <c r="J176" s="26">
        <f t="shared" si="15"/>
        <v>6.8999999999999986</v>
      </c>
      <c r="K176" s="21">
        <f t="shared" si="16"/>
        <v>34.985897999999992</v>
      </c>
      <c r="L176" s="38">
        <v>1.75</v>
      </c>
      <c r="M176" s="30">
        <v>5</v>
      </c>
      <c r="N176" s="28">
        <f t="shared" si="17"/>
        <v>5.9971795999999982</v>
      </c>
      <c r="O176" s="39">
        <f t="shared" si="18"/>
        <v>42.733077599999987</v>
      </c>
    </row>
    <row r="177" spans="1:15" x14ac:dyDescent="0.3">
      <c r="A177" s="19"/>
      <c r="B177" s="20">
        <v>0.6875</v>
      </c>
      <c r="C177" s="21">
        <v>41.5</v>
      </c>
      <c r="D177" s="33">
        <v>34.6</v>
      </c>
      <c r="E177" s="7">
        <v>26</v>
      </c>
      <c r="F177" s="11">
        <f t="shared" si="13"/>
        <v>6.8999999999999986</v>
      </c>
      <c r="G177" s="23">
        <f t="shared" si="13"/>
        <v>8.6000000000000014</v>
      </c>
      <c r="H177" s="24">
        <f t="shared" si="14"/>
        <v>44.516129032258057</v>
      </c>
      <c r="I177" s="25">
        <v>3386</v>
      </c>
      <c r="J177" s="26">
        <f t="shared" si="15"/>
        <v>6.8999999999999986</v>
      </c>
      <c r="K177" s="21">
        <f t="shared" si="16"/>
        <v>35.74600199999999</v>
      </c>
      <c r="L177" s="38">
        <v>1.75</v>
      </c>
      <c r="M177" s="30">
        <v>5</v>
      </c>
      <c r="N177" s="28">
        <f t="shared" si="17"/>
        <v>6.149200399999998</v>
      </c>
      <c r="O177" s="39">
        <f t="shared" si="18"/>
        <v>43.645202399999988</v>
      </c>
    </row>
    <row r="178" spans="1:15" x14ac:dyDescent="0.3">
      <c r="A178" s="19"/>
      <c r="B178" s="20">
        <v>0.77083333333333337</v>
      </c>
      <c r="C178" s="21">
        <v>41.5</v>
      </c>
      <c r="D178" s="33">
        <v>34.700000000000003</v>
      </c>
      <c r="E178" s="7">
        <v>26</v>
      </c>
      <c r="F178" s="11">
        <f t="shared" si="13"/>
        <v>6.7999999999999972</v>
      </c>
      <c r="G178" s="23">
        <f t="shared" si="13"/>
        <v>8.7000000000000028</v>
      </c>
      <c r="H178" s="24">
        <f t="shared" si="14"/>
        <v>43.870967741935466</v>
      </c>
      <c r="I178" s="25">
        <v>3218</v>
      </c>
      <c r="J178" s="26">
        <f t="shared" si="15"/>
        <v>6.7999999999999972</v>
      </c>
      <c r="K178" s="21">
        <f t="shared" si="16"/>
        <v>33.480071999999986</v>
      </c>
      <c r="L178" s="38">
        <v>1.75</v>
      </c>
      <c r="M178" s="30">
        <v>5</v>
      </c>
      <c r="N178" s="28">
        <f t="shared" si="17"/>
        <v>5.6960143999999975</v>
      </c>
      <c r="O178" s="39">
        <f t="shared" si="18"/>
        <v>40.926086399999981</v>
      </c>
    </row>
    <row r="179" spans="1:15" x14ac:dyDescent="0.3">
      <c r="A179" s="19"/>
      <c r="B179" s="20">
        <v>0.85416666666666663</v>
      </c>
      <c r="C179" s="21">
        <v>41.8</v>
      </c>
      <c r="D179" s="33">
        <v>34.6</v>
      </c>
      <c r="E179" s="7">
        <v>26</v>
      </c>
      <c r="F179" s="11">
        <f t="shared" si="13"/>
        <v>7.1999999999999957</v>
      </c>
      <c r="G179" s="23">
        <f t="shared" si="13"/>
        <v>8.6000000000000014</v>
      </c>
      <c r="H179" s="24">
        <f t="shared" si="14"/>
        <v>45.569620253164537</v>
      </c>
      <c r="I179" s="25">
        <v>3329</v>
      </c>
      <c r="J179" s="26">
        <f t="shared" si="15"/>
        <v>7.1999999999999957</v>
      </c>
      <c r="K179" s="21">
        <f t="shared" si="16"/>
        <v>36.67226399999997</v>
      </c>
      <c r="L179" s="38">
        <v>1.75</v>
      </c>
      <c r="M179" s="30">
        <v>5</v>
      </c>
      <c r="N179" s="28">
        <f t="shared" si="17"/>
        <v>6.334452799999994</v>
      </c>
      <c r="O179" s="39">
        <f t="shared" si="18"/>
        <v>44.756716799999964</v>
      </c>
    </row>
    <row r="180" spans="1:15" x14ac:dyDescent="0.3">
      <c r="A180" s="19"/>
      <c r="B180" s="20">
        <v>0.9375</v>
      </c>
      <c r="C180" s="21">
        <v>41.5</v>
      </c>
      <c r="D180" s="33">
        <v>34.299999999999997</v>
      </c>
      <c r="E180" s="7">
        <v>26</v>
      </c>
      <c r="F180" s="11">
        <f t="shared" si="13"/>
        <v>7.2000000000000028</v>
      </c>
      <c r="G180" s="23">
        <f t="shared" si="13"/>
        <v>8.2999999999999972</v>
      </c>
      <c r="H180" s="24">
        <f t="shared" si="14"/>
        <v>46.451612903225822</v>
      </c>
      <c r="I180" s="25">
        <v>3306</v>
      </c>
      <c r="J180" s="26">
        <f t="shared" si="15"/>
        <v>7.2000000000000028</v>
      </c>
      <c r="K180" s="21">
        <f t="shared" si="16"/>
        <v>36.418896000000011</v>
      </c>
      <c r="L180" s="38">
        <v>1.75</v>
      </c>
      <c r="M180" s="30">
        <v>5</v>
      </c>
      <c r="N180" s="28">
        <f t="shared" si="17"/>
        <v>6.2837792000000023</v>
      </c>
      <c r="O180" s="39">
        <f t="shared" si="18"/>
        <v>44.452675200000016</v>
      </c>
    </row>
    <row r="181" spans="1:15" x14ac:dyDescent="0.3">
      <c r="A181" s="19"/>
      <c r="B181" s="20">
        <v>2.0833333333333332E-2</v>
      </c>
      <c r="C181" s="21">
        <v>40.799999999999997</v>
      </c>
      <c r="D181" s="33">
        <v>34.1</v>
      </c>
      <c r="E181" s="7">
        <v>26</v>
      </c>
      <c r="F181" s="11">
        <f t="shared" si="13"/>
        <v>6.6999999999999957</v>
      </c>
      <c r="G181" s="23">
        <f t="shared" si="13"/>
        <v>8.1000000000000014</v>
      </c>
      <c r="H181" s="24">
        <f t="shared" si="14"/>
        <v>45.270270270270252</v>
      </c>
      <c r="I181" s="25">
        <v>3371</v>
      </c>
      <c r="J181" s="26">
        <f t="shared" si="15"/>
        <v>6.6999999999999957</v>
      </c>
      <c r="K181" s="21">
        <f t="shared" si="16"/>
        <v>34.556120999999976</v>
      </c>
      <c r="L181" s="38">
        <v>1.75</v>
      </c>
      <c r="M181" s="30">
        <v>5</v>
      </c>
      <c r="N181" s="28">
        <f t="shared" si="17"/>
        <v>5.911224199999995</v>
      </c>
      <c r="O181" s="39">
        <f t="shared" si="18"/>
        <v>42.217345199999968</v>
      </c>
    </row>
    <row r="182" spans="1:15" x14ac:dyDescent="0.3">
      <c r="A182" s="19"/>
      <c r="B182" s="20">
        <v>0.10416666666666667</v>
      </c>
      <c r="C182" s="21">
        <v>41</v>
      </c>
      <c r="D182" s="33">
        <v>34</v>
      </c>
      <c r="E182" s="7">
        <v>26</v>
      </c>
      <c r="F182" s="11">
        <f t="shared" si="13"/>
        <v>7</v>
      </c>
      <c r="G182" s="23">
        <f t="shared" si="13"/>
        <v>8</v>
      </c>
      <c r="H182" s="24">
        <f t="shared" si="14"/>
        <v>46.666666666666664</v>
      </c>
      <c r="I182" s="25">
        <v>3397</v>
      </c>
      <c r="J182" s="26">
        <f t="shared" si="15"/>
        <v>7</v>
      </c>
      <c r="K182" s="21">
        <f t="shared" si="16"/>
        <v>36.381869999999999</v>
      </c>
      <c r="L182" s="38">
        <v>1.75</v>
      </c>
      <c r="M182" s="30">
        <v>5</v>
      </c>
      <c r="N182" s="28">
        <f t="shared" si="17"/>
        <v>6.2763739999999997</v>
      </c>
      <c r="O182" s="39">
        <f t="shared" si="18"/>
        <v>44.408243999999996</v>
      </c>
    </row>
    <row r="183" spans="1:15" x14ac:dyDescent="0.3">
      <c r="A183" s="19"/>
      <c r="B183" s="20">
        <v>0.1875</v>
      </c>
      <c r="C183" s="21">
        <v>40.5</v>
      </c>
      <c r="D183" s="33">
        <v>33.6</v>
      </c>
      <c r="E183" s="7">
        <v>26</v>
      </c>
      <c r="F183" s="11">
        <f t="shared" si="13"/>
        <v>6.8999999999999986</v>
      </c>
      <c r="G183" s="23">
        <f t="shared" si="13"/>
        <v>7.6000000000000014</v>
      </c>
      <c r="H183" s="24">
        <f t="shared" si="14"/>
        <v>47.586206896551715</v>
      </c>
      <c r="I183" s="25">
        <v>3262</v>
      </c>
      <c r="J183" s="26">
        <f t="shared" si="15"/>
        <v>6.8999999999999986</v>
      </c>
      <c r="K183" s="21">
        <f t="shared" si="16"/>
        <v>34.436933999999994</v>
      </c>
      <c r="L183" s="38">
        <v>1.75</v>
      </c>
      <c r="M183" s="30">
        <v>5</v>
      </c>
      <c r="N183" s="28">
        <f t="shared" si="17"/>
        <v>5.8873867999999989</v>
      </c>
      <c r="O183" s="39">
        <f t="shared" si="18"/>
        <v>42.074320799999995</v>
      </c>
    </row>
    <row r="184" spans="1:15" s="3" customFormat="1" x14ac:dyDescent="0.3">
      <c r="A184" s="34"/>
      <c r="B184" s="34"/>
      <c r="C184" s="34"/>
      <c r="D184" s="34"/>
      <c r="E184" s="34"/>
      <c r="F184" s="34"/>
      <c r="G184" s="34" t="s">
        <v>8</v>
      </c>
      <c r="H184" s="34">
        <f>AVERAGE(H172:H183)</f>
        <v>46.17239045732552</v>
      </c>
      <c r="I184" s="34"/>
      <c r="J184" s="34"/>
      <c r="K184" s="34">
        <f>AVERAGE(K172:K183)</f>
        <v>34.618404749999989</v>
      </c>
      <c r="L184" s="34"/>
      <c r="M184" s="34"/>
      <c r="N184" s="34">
        <f>AVERAGE(N172:N183)</f>
        <v>5.9236809499999978</v>
      </c>
      <c r="O184" s="34">
        <f>AVERAGE(O172:O183)</f>
        <v>42.292085699999994</v>
      </c>
    </row>
    <row r="185" spans="1:15" x14ac:dyDescent="0.3">
      <c r="A185" s="19">
        <v>44576</v>
      </c>
      <c r="B185" s="20">
        <v>0.27083333333333331</v>
      </c>
      <c r="C185" s="21">
        <v>40.1</v>
      </c>
      <c r="D185" s="33">
        <v>32.200000000000003</v>
      </c>
      <c r="E185" s="7">
        <v>26</v>
      </c>
      <c r="F185" s="11">
        <f t="shared" si="13"/>
        <v>7.8999999999999986</v>
      </c>
      <c r="G185" s="23">
        <f t="shared" si="13"/>
        <v>6.2000000000000028</v>
      </c>
      <c r="H185" s="24">
        <f t="shared" si="14"/>
        <v>56.028368794326219</v>
      </c>
      <c r="I185" s="25">
        <v>3264</v>
      </c>
      <c r="J185" s="26">
        <f t="shared" si="15"/>
        <v>7.8999999999999986</v>
      </c>
      <c r="K185" s="21">
        <f t="shared" si="16"/>
        <v>39.451967999999987</v>
      </c>
      <c r="L185" s="38">
        <v>1.75</v>
      </c>
      <c r="M185" s="30">
        <v>5</v>
      </c>
      <c r="N185" s="28">
        <f t="shared" si="17"/>
        <v>6.8903935999999977</v>
      </c>
      <c r="O185" s="39">
        <f t="shared" si="18"/>
        <v>48.092361599999983</v>
      </c>
    </row>
    <row r="186" spans="1:15" x14ac:dyDescent="0.3">
      <c r="A186" s="31"/>
      <c r="B186" s="20">
        <v>0.35416666666666669</v>
      </c>
      <c r="C186" s="21">
        <v>39.9</v>
      </c>
      <c r="D186" s="33">
        <v>33</v>
      </c>
      <c r="E186" s="7">
        <v>26</v>
      </c>
      <c r="F186" s="11">
        <f t="shared" si="13"/>
        <v>6.8999999999999986</v>
      </c>
      <c r="G186" s="23">
        <f t="shared" si="13"/>
        <v>7</v>
      </c>
      <c r="H186" s="24">
        <f t="shared" si="14"/>
        <v>49.640287769784166</v>
      </c>
      <c r="I186" s="25">
        <v>3194</v>
      </c>
      <c r="J186" s="26">
        <f t="shared" si="15"/>
        <v>6.8999999999999986</v>
      </c>
      <c r="K186" s="21">
        <f t="shared" si="16"/>
        <v>33.71905799999999</v>
      </c>
      <c r="L186" s="38">
        <v>1.75</v>
      </c>
      <c r="M186" s="30">
        <v>5</v>
      </c>
      <c r="N186" s="28">
        <f t="shared" si="17"/>
        <v>5.7438115999999981</v>
      </c>
      <c r="O186" s="39">
        <f t="shared" si="18"/>
        <v>41.212869599999991</v>
      </c>
    </row>
    <row r="187" spans="1:15" x14ac:dyDescent="0.3">
      <c r="A187" s="31"/>
      <c r="B187" s="20">
        <v>0.4375</v>
      </c>
      <c r="C187" s="21">
        <v>40.5</v>
      </c>
      <c r="D187" s="33">
        <v>33.5</v>
      </c>
      <c r="E187" s="7">
        <v>26</v>
      </c>
      <c r="F187" s="11">
        <f t="shared" si="13"/>
        <v>7</v>
      </c>
      <c r="G187" s="23">
        <f t="shared" si="13"/>
        <v>7.5</v>
      </c>
      <c r="H187" s="24">
        <f t="shared" si="14"/>
        <v>48.275862068965516</v>
      </c>
      <c r="I187" s="25">
        <v>3321</v>
      </c>
      <c r="J187" s="26">
        <f t="shared" si="15"/>
        <v>7</v>
      </c>
      <c r="K187" s="21">
        <f t="shared" si="16"/>
        <v>35.567909999999998</v>
      </c>
      <c r="L187" s="38">
        <v>1.75</v>
      </c>
      <c r="M187" s="30">
        <v>5</v>
      </c>
      <c r="N187" s="28">
        <f t="shared" si="17"/>
        <v>6.1135819999999992</v>
      </c>
      <c r="O187" s="39">
        <f t="shared" si="18"/>
        <v>43.431491999999999</v>
      </c>
    </row>
    <row r="188" spans="1:15" x14ac:dyDescent="0.3">
      <c r="A188" s="31"/>
      <c r="B188" s="20">
        <v>0.52083333333333337</v>
      </c>
      <c r="C188" s="21">
        <v>41.4</v>
      </c>
      <c r="D188" s="33">
        <v>34.299999999999997</v>
      </c>
      <c r="E188" s="7">
        <v>26</v>
      </c>
      <c r="F188" s="11">
        <f t="shared" si="13"/>
        <v>7.1000000000000014</v>
      </c>
      <c r="G188" s="23">
        <f t="shared" si="13"/>
        <v>8.2999999999999972</v>
      </c>
      <c r="H188" s="24">
        <f t="shared" si="14"/>
        <v>46.103896103896119</v>
      </c>
      <c r="I188" s="25">
        <v>3341</v>
      </c>
      <c r="J188" s="26">
        <f t="shared" si="15"/>
        <v>7.1000000000000014</v>
      </c>
      <c r="K188" s="21">
        <f t="shared" si="16"/>
        <v>36.293283000000002</v>
      </c>
      <c r="L188" s="38">
        <v>1.75</v>
      </c>
      <c r="M188" s="30">
        <v>5</v>
      </c>
      <c r="N188" s="28">
        <f t="shared" si="17"/>
        <v>6.2586566000000001</v>
      </c>
      <c r="O188" s="39">
        <f t="shared" si="18"/>
        <v>44.301939600000004</v>
      </c>
    </row>
    <row r="189" spans="1:15" x14ac:dyDescent="0.3">
      <c r="A189" s="31"/>
      <c r="B189" s="20">
        <v>0.60416666666666663</v>
      </c>
      <c r="C189" s="21">
        <v>41.4</v>
      </c>
      <c r="D189" s="33">
        <v>34.4</v>
      </c>
      <c r="E189" s="7">
        <v>26</v>
      </c>
      <c r="F189" s="11">
        <f t="shared" si="13"/>
        <v>7</v>
      </c>
      <c r="G189" s="23">
        <f t="shared" si="13"/>
        <v>8.3999999999999986</v>
      </c>
      <c r="H189" s="24">
        <f t="shared" si="14"/>
        <v>45.45454545454546</v>
      </c>
      <c r="I189" s="25">
        <v>3324</v>
      </c>
      <c r="J189" s="26">
        <f t="shared" si="15"/>
        <v>7</v>
      </c>
      <c r="K189" s="21">
        <f t="shared" si="16"/>
        <v>35.600039999999993</v>
      </c>
      <c r="L189" s="38">
        <v>1.75</v>
      </c>
      <c r="M189" s="30">
        <v>5</v>
      </c>
      <c r="N189" s="28">
        <f t="shared" si="17"/>
        <v>6.1200079999999986</v>
      </c>
      <c r="O189" s="39">
        <f t="shared" si="18"/>
        <v>43.470047999999991</v>
      </c>
    </row>
    <row r="190" spans="1:15" x14ac:dyDescent="0.3">
      <c r="A190" s="31"/>
      <c r="B190" s="20">
        <v>0.6875</v>
      </c>
      <c r="C190" s="21">
        <v>42</v>
      </c>
      <c r="D190" s="33">
        <v>34</v>
      </c>
      <c r="E190" s="7">
        <v>26</v>
      </c>
      <c r="F190" s="11">
        <f t="shared" si="13"/>
        <v>8</v>
      </c>
      <c r="G190" s="23">
        <f t="shared" si="13"/>
        <v>8</v>
      </c>
      <c r="H190" s="24">
        <f t="shared" si="14"/>
        <v>50</v>
      </c>
      <c r="I190" s="25">
        <v>3327</v>
      </c>
      <c r="J190" s="26">
        <f t="shared" si="15"/>
        <v>8</v>
      </c>
      <c r="K190" s="21">
        <f t="shared" si="16"/>
        <v>40.722479999999997</v>
      </c>
      <c r="L190" s="38">
        <v>1.75</v>
      </c>
      <c r="M190" s="30">
        <v>5</v>
      </c>
      <c r="N190" s="28">
        <f t="shared" si="17"/>
        <v>7.1444960000000002</v>
      </c>
      <c r="O190" s="39">
        <f t="shared" si="18"/>
        <v>49.616975999999994</v>
      </c>
    </row>
    <row r="191" spans="1:15" x14ac:dyDescent="0.3">
      <c r="A191" s="31"/>
      <c r="B191" s="20">
        <v>0.77083333333333337</v>
      </c>
      <c r="C191" s="21">
        <v>41</v>
      </c>
      <c r="D191" s="33">
        <v>34</v>
      </c>
      <c r="E191" s="7">
        <v>26</v>
      </c>
      <c r="F191" s="11">
        <f t="shared" si="13"/>
        <v>7</v>
      </c>
      <c r="G191" s="23">
        <f t="shared" si="13"/>
        <v>8</v>
      </c>
      <c r="H191" s="24">
        <f t="shared" si="14"/>
        <v>46.666666666666664</v>
      </c>
      <c r="I191" s="25">
        <v>3222</v>
      </c>
      <c r="J191" s="26">
        <f t="shared" si="15"/>
        <v>7</v>
      </c>
      <c r="K191" s="21">
        <f t="shared" si="16"/>
        <v>34.507619999999996</v>
      </c>
      <c r="L191" s="38">
        <v>1.75</v>
      </c>
      <c r="M191" s="30">
        <v>5</v>
      </c>
      <c r="N191" s="28">
        <f t="shared" si="17"/>
        <v>5.9015239999999993</v>
      </c>
      <c r="O191" s="39">
        <f t="shared" si="18"/>
        <v>42.159143999999998</v>
      </c>
    </row>
    <row r="192" spans="1:15" x14ac:dyDescent="0.3">
      <c r="A192" s="31"/>
      <c r="B192" s="20">
        <v>0.85416666666666663</v>
      </c>
      <c r="C192" s="21">
        <v>40</v>
      </c>
      <c r="D192" s="33">
        <v>34</v>
      </c>
      <c r="E192" s="7">
        <v>26</v>
      </c>
      <c r="F192" s="11">
        <f t="shared" si="13"/>
        <v>6</v>
      </c>
      <c r="G192" s="23">
        <f t="shared" si="13"/>
        <v>8</v>
      </c>
      <c r="H192" s="24">
        <f t="shared" si="14"/>
        <v>42.857142857142854</v>
      </c>
      <c r="I192" s="25">
        <v>3295</v>
      </c>
      <c r="J192" s="26">
        <f t="shared" si="15"/>
        <v>6</v>
      </c>
      <c r="K192" s="21">
        <f t="shared" si="16"/>
        <v>30.248099999999997</v>
      </c>
      <c r="L192" s="38">
        <v>1.75</v>
      </c>
      <c r="M192" s="30">
        <v>5</v>
      </c>
      <c r="N192" s="28">
        <f t="shared" si="17"/>
        <v>5.0496199999999991</v>
      </c>
      <c r="O192" s="39">
        <f t="shared" si="18"/>
        <v>37.047719999999998</v>
      </c>
    </row>
    <row r="193" spans="1:15" x14ac:dyDescent="0.3">
      <c r="A193" s="31"/>
      <c r="B193" s="20">
        <v>0.9375</v>
      </c>
      <c r="C193" s="21">
        <v>41.4</v>
      </c>
      <c r="D193" s="33">
        <v>34</v>
      </c>
      <c r="E193" s="7">
        <v>26</v>
      </c>
      <c r="F193" s="11">
        <f t="shared" si="13"/>
        <v>7.3999999999999986</v>
      </c>
      <c r="G193" s="23">
        <f t="shared" si="13"/>
        <v>8</v>
      </c>
      <c r="H193" s="24">
        <f t="shared" si="14"/>
        <v>48.051948051948045</v>
      </c>
      <c r="I193" s="25">
        <v>3309</v>
      </c>
      <c r="J193" s="26">
        <f t="shared" si="15"/>
        <v>7.3999999999999986</v>
      </c>
      <c r="K193" s="21">
        <f t="shared" si="16"/>
        <v>37.464497999999992</v>
      </c>
      <c r="L193" s="38">
        <v>1.75</v>
      </c>
      <c r="M193" s="30">
        <v>5</v>
      </c>
      <c r="N193" s="28">
        <f t="shared" si="17"/>
        <v>6.4928995999999986</v>
      </c>
      <c r="O193" s="39">
        <f t="shared" si="18"/>
        <v>45.707397599999993</v>
      </c>
    </row>
    <row r="194" spans="1:15" x14ac:dyDescent="0.3">
      <c r="A194" s="31"/>
      <c r="B194" s="20">
        <v>2.0833333333333332E-2</v>
      </c>
      <c r="C194" s="21">
        <v>41</v>
      </c>
      <c r="D194" s="33">
        <v>34.299999999999997</v>
      </c>
      <c r="E194" s="7">
        <v>26</v>
      </c>
      <c r="F194" s="11">
        <f t="shared" si="13"/>
        <v>6.7000000000000028</v>
      </c>
      <c r="G194" s="23">
        <f t="shared" si="13"/>
        <v>8.2999999999999972</v>
      </c>
      <c r="H194" s="24">
        <f t="shared" si="14"/>
        <v>44.666666666666686</v>
      </c>
      <c r="I194" s="25">
        <v>3392</v>
      </c>
      <c r="J194" s="26">
        <f t="shared" si="15"/>
        <v>6.7000000000000028</v>
      </c>
      <c r="K194" s="21">
        <f t="shared" si="16"/>
        <v>34.771392000000013</v>
      </c>
      <c r="L194" s="38">
        <v>1.75</v>
      </c>
      <c r="M194" s="30">
        <v>5</v>
      </c>
      <c r="N194" s="28">
        <f t="shared" si="17"/>
        <v>5.9542784000000024</v>
      </c>
      <c r="O194" s="39">
        <f t="shared" si="18"/>
        <v>42.475670400000013</v>
      </c>
    </row>
    <row r="195" spans="1:15" x14ac:dyDescent="0.3">
      <c r="A195" s="31"/>
      <c r="B195" s="20">
        <v>0.10416666666666667</v>
      </c>
      <c r="C195" s="21">
        <v>41.4</v>
      </c>
      <c r="D195" s="33">
        <v>34.1</v>
      </c>
      <c r="E195" s="7">
        <v>26</v>
      </c>
      <c r="F195" s="11">
        <f t="shared" si="13"/>
        <v>7.2999999999999972</v>
      </c>
      <c r="G195" s="23">
        <f t="shared" si="13"/>
        <v>8.1000000000000014</v>
      </c>
      <c r="H195" s="24">
        <f t="shared" si="14"/>
        <v>47.402597402597394</v>
      </c>
      <c r="I195" s="25">
        <v>3334</v>
      </c>
      <c r="J195" s="26">
        <f t="shared" si="15"/>
        <v>7.2999999999999972</v>
      </c>
      <c r="K195" s="21">
        <f t="shared" si="16"/>
        <v>37.237445999999977</v>
      </c>
      <c r="L195" s="38">
        <v>1.75</v>
      </c>
      <c r="M195" s="30">
        <v>5</v>
      </c>
      <c r="N195" s="28">
        <f t="shared" si="17"/>
        <v>6.4474891999999953</v>
      </c>
      <c r="O195" s="39">
        <f t="shared" si="18"/>
        <v>45.43493519999997</v>
      </c>
    </row>
    <row r="196" spans="1:15" x14ac:dyDescent="0.3">
      <c r="A196" s="31"/>
      <c r="B196" s="20">
        <v>0.1875</v>
      </c>
      <c r="C196" s="21">
        <v>41</v>
      </c>
      <c r="D196" s="33">
        <v>33.9</v>
      </c>
      <c r="E196" s="7">
        <v>26</v>
      </c>
      <c r="F196" s="11">
        <f t="shared" ref="F196:G259" si="19">C196-D196</f>
        <v>7.1000000000000014</v>
      </c>
      <c r="G196" s="23">
        <f t="shared" si="19"/>
        <v>7.8999999999999986</v>
      </c>
      <c r="H196" s="24">
        <f t="shared" ref="H196:H259" si="20">(F196/(F196+G196))*100</f>
        <v>47.333333333333343</v>
      </c>
      <c r="I196" s="25">
        <v>3241</v>
      </c>
      <c r="J196" s="26">
        <f t="shared" ref="J196:J259" si="21">C196-D196</f>
        <v>7.1000000000000014</v>
      </c>
      <c r="K196" s="21">
        <f t="shared" ref="K196:K259" si="22">0.00085*1.8*I196*J196</f>
        <v>35.206983000000008</v>
      </c>
      <c r="L196" s="38">
        <v>1.75</v>
      </c>
      <c r="M196" s="30">
        <v>5</v>
      </c>
      <c r="N196" s="28">
        <f t="shared" ref="N196:N259" si="23">K196/M196-1</f>
        <v>6.0413966000000014</v>
      </c>
      <c r="O196" s="39">
        <f t="shared" ref="O196:O259" si="24">K196+L196+N196</f>
        <v>42.998379600000007</v>
      </c>
    </row>
    <row r="197" spans="1:15" s="3" customFormat="1" x14ac:dyDescent="0.3">
      <c r="A197" s="34"/>
      <c r="B197" s="34"/>
      <c r="C197" s="34"/>
      <c r="D197" s="34"/>
      <c r="E197" s="34"/>
      <c r="F197" s="34"/>
      <c r="G197" s="34" t="s">
        <v>8</v>
      </c>
      <c r="H197" s="34">
        <f>AVERAGE(H185:H196)</f>
        <v>47.706776264156048</v>
      </c>
      <c r="I197" s="34"/>
      <c r="J197" s="34"/>
      <c r="K197" s="34">
        <f>AVERAGE(K185:K196)</f>
        <v>35.899231499999992</v>
      </c>
      <c r="L197" s="34"/>
      <c r="M197" s="34"/>
      <c r="N197" s="34">
        <f>AVERAGE(N185:N196)</f>
        <v>6.1798463000000003</v>
      </c>
      <c r="O197" s="34">
        <f>AVERAGE(O185:O196)</f>
        <v>43.829077799999993</v>
      </c>
    </row>
    <row r="198" spans="1:15" x14ac:dyDescent="0.3">
      <c r="A198" s="19">
        <v>44577</v>
      </c>
      <c r="B198" s="20">
        <v>0.27083333333333331</v>
      </c>
      <c r="C198" s="21">
        <v>40.200000000000003</v>
      </c>
      <c r="D198" s="33">
        <v>33.5</v>
      </c>
      <c r="E198" s="7">
        <v>26</v>
      </c>
      <c r="F198" s="11">
        <f t="shared" si="19"/>
        <v>6.7000000000000028</v>
      </c>
      <c r="G198" s="23">
        <f t="shared" si="19"/>
        <v>7.5</v>
      </c>
      <c r="H198" s="24">
        <f t="shared" si="20"/>
        <v>47.183098591549303</v>
      </c>
      <c r="I198" s="25">
        <v>3218</v>
      </c>
      <c r="J198" s="26">
        <f t="shared" si="21"/>
        <v>6.7000000000000028</v>
      </c>
      <c r="K198" s="21">
        <f t="shared" si="22"/>
        <v>32.987718000000015</v>
      </c>
      <c r="L198" s="38">
        <v>1.75</v>
      </c>
      <c r="M198" s="30">
        <v>5</v>
      </c>
      <c r="N198" s="28">
        <f t="shared" si="23"/>
        <v>5.5975436000000034</v>
      </c>
      <c r="O198" s="39">
        <f t="shared" si="24"/>
        <v>40.335261600000017</v>
      </c>
    </row>
    <row r="199" spans="1:15" x14ac:dyDescent="0.3">
      <c r="A199" s="19"/>
      <c r="B199" s="20">
        <v>0.35416666666666669</v>
      </c>
      <c r="C199" s="21">
        <v>40.6</v>
      </c>
      <c r="D199" s="33">
        <v>33.5</v>
      </c>
      <c r="E199" s="7">
        <v>26</v>
      </c>
      <c r="F199" s="11">
        <f t="shared" si="19"/>
        <v>7.1000000000000014</v>
      </c>
      <c r="G199" s="23">
        <f t="shared" si="19"/>
        <v>7.5</v>
      </c>
      <c r="H199" s="24">
        <f t="shared" si="20"/>
        <v>48.630136986301373</v>
      </c>
      <c r="I199" s="25">
        <v>3324</v>
      </c>
      <c r="J199" s="26">
        <f t="shared" si="21"/>
        <v>7.1000000000000014</v>
      </c>
      <c r="K199" s="21">
        <f t="shared" si="22"/>
        <v>36.108612000000001</v>
      </c>
      <c r="L199" s="38">
        <v>1.75</v>
      </c>
      <c r="M199" s="30">
        <v>5</v>
      </c>
      <c r="N199" s="28">
        <f t="shared" si="23"/>
        <v>6.2217224</v>
      </c>
      <c r="O199" s="39">
        <f t="shared" si="24"/>
        <v>44.080334399999998</v>
      </c>
    </row>
    <row r="200" spans="1:15" x14ac:dyDescent="0.3">
      <c r="A200" s="19"/>
      <c r="B200" s="20">
        <v>0.4375</v>
      </c>
      <c r="C200" s="21">
        <v>41.4</v>
      </c>
      <c r="D200" s="33">
        <v>33.6</v>
      </c>
      <c r="E200" s="7">
        <v>26</v>
      </c>
      <c r="F200" s="11">
        <f t="shared" si="19"/>
        <v>7.7999999999999972</v>
      </c>
      <c r="G200" s="23">
        <f t="shared" si="19"/>
        <v>7.6000000000000014</v>
      </c>
      <c r="H200" s="24">
        <f t="shared" si="20"/>
        <v>50.64935064935063</v>
      </c>
      <c r="I200" s="25">
        <v>3353</v>
      </c>
      <c r="J200" s="26">
        <f t="shared" si="21"/>
        <v>7.7999999999999972</v>
      </c>
      <c r="K200" s="21">
        <f t="shared" si="22"/>
        <v>40.014701999999986</v>
      </c>
      <c r="L200" s="38">
        <v>1.75</v>
      </c>
      <c r="M200" s="30">
        <v>5</v>
      </c>
      <c r="N200" s="28">
        <f t="shared" si="23"/>
        <v>7.0029403999999964</v>
      </c>
      <c r="O200" s="39">
        <f t="shared" si="24"/>
        <v>48.767642399999986</v>
      </c>
    </row>
    <row r="201" spans="1:15" x14ac:dyDescent="0.3">
      <c r="A201" s="19"/>
      <c r="B201" s="20">
        <v>0.52083333333333337</v>
      </c>
      <c r="C201" s="21">
        <v>40.6</v>
      </c>
      <c r="D201" s="33">
        <v>33.9</v>
      </c>
      <c r="E201" s="7">
        <v>26</v>
      </c>
      <c r="F201" s="11">
        <f t="shared" si="19"/>
        <v>6.7000000000000028</v>
      </c>
      <c r="G201" s="23">
        <f t="shared" si="19"/>
        <v>7.8999999999999986</v>
      </c>
      <c r="H201" s="24">
        <f t="shared" si="20"/>
        <v>45.890410958904127</v>
      </c>
      <c r="I201" s="25">
        <v>3388</v>
      </c>
      <c r="J201" s="26">
        <f t="shared" si="21"/>
        <v>6.7000000000000028</v>
      </c>
      <c r="K201" s="21">
        <f t="shared" si="22"/>
        <v>34.730388000000012</v>
      </c>
      <c r="L201" s="38">
        <v>1.75</v>
      </c>
      <c r="M201" s="30">
        <v>5</v>
      </c>
      <c r="N201" s="28">
        <f t="shared" si="23"/>
        <v>5.9460776000000024</v>
      </c>
      <c r="O201" s="39">
        <f t="shared" si="24"/>
        <v>42.426465600000014</v>
      </c>
    </row>
    <row r="202" spans="1:15" x14ac:dyDescent="0.3">
      <c r="A202" s="19"/>
      <c r="B202" s="20">
        <v>0.60416666666666663</v>
      </c>
      <c r="C202" s="21">
        <v>41.6</v>
      </c>
      <c r="D202" s="33">
        <v>34.299999999999997</v>
      </c>
      <c r="E202" s="7">
        <v>26</v>
      </c>
      <c r="F202" s="11">
        <f t="shared" si="19"/>
        <v>7.3000000000000043</v>
      </c>
      <c r="G202" s="23">
        <f t="shared" si="19"/>
        <v>8.2999999999999972</v>
      </c>
      <c r="H202" s="24">
        <f t="shared" si="20"/>
        <v>46.794871794871817</v>
      </c>
      <c r="I202" s="25">
        <v>3360</v>
      </c>
      <c r="J202" s="26">
        <f t="shared" si="21"/>
        <v>7.3000000000000043</v>
      </c>
      <c r="K202" s="21">
        <f t="shared" si="22"/>
        <v>37.527840000000019</v>
      </c>
      <c r="L202" s="38">
        <v>1.75</v>
      </c>
      <c r="M202" s="30">
        <v>5</v>
      </c>
      <c r="N202" s="28">
        <f t="shared" si="23"/>
        <v>6.5055680000000038</v>
      </c>
      <c r="O202" s="39">
        <f t="shared" si="24"/>
        <v>45.783408000000023</v>
      </c>
    </row>
    <row r="203" spans="1:15" x14ac:dyDescent="0.3">
      <c r="A203" s="19"/>
      <c r="B203" s="20">
        <v>0.6875</v>
      </c>
      <c r="C203" s="21">
        <v>41.9</v>
      </c>
      <c r="D203" s="33">
        <v>34.6</v>
      </c>
      <c r="E203" s="7">
        <v>26</v>
      </c>
      <c r="F203" s="11">
        <f t="shared" si="19"/>
        <v>7.2999999999999972</v>
      </c>
      <c r="G203" s="23">
        <f t="shared" si="19"/>
        <v>8.6000000000000014</v>
      </c>
      <c r="H203" s="24">
        <f t="shared" si="20"/>
        <v>45.911949685534573</v>
      </c>
      <c r="I203" s="25">
        <v>3162</v>
      </c>
      <c r="J203" s="26">
        <f t="shared" si="21"/>
        <v>7.2999999999999972</v>
      </c>
      <c r="K203" s="21">
        <f t="shared" si="22"/>
        <v>35.316377999999986</v>
      </c>
      <c r="L203" s="38">
        <v>1.75</v>
      </c>
      <c r="M203" s="30">
        <v>5</v>
      </c>
      <c r="N203" s="28">
        <f t="shared" si="23"/>
        <v>6.0632755999999972</v>
      </c>
      <c r="O203" s="39">
        <f t="shared" si="24"/>
        <v>43.129653599999983</v>
      </c>
    </row>
    <row r="204" spans="1:15" x14ac:dyDescent="0.3">
      <c r="A204" s="19"/>
      <c r="B204" s="20">
        <v>0.77083333333333337</v>
      </c>
      <c r="C204" s="21">
        <v>41.7</v>
      </c>
      <c r="D204" s="33">
        <v>34.5</v>
      </c>
      <c r="E204" s="7">
        <v>26</v>
      </c>
      <c r="F204" s="11">
        <f t="shared" si="19"/>
        <v>7.2000000000000028</v>
      </c>
      <c r="G204" s="23">
        <f t="shared" si="19"/>
        <v>8.5</v>
      </c>
      <c r="H204" s="24">
        <f t="shared" si="20"/>
        <v>45.859872611464979</v>
      </c>
      <c r="I204" s="25">
        <v>3206</v>
      </c>
      <c r="J204" s="26">
        <f t="shared" si="21"/>
        <v>7.2000000000000028</v>
      </c>
      <c r="K204" s="21">
        <f t="shared" si="22"/>
        <v>35.317296000000013</v>
      </c>
      <c r="L204" s="38">
        <v>1.75</v>
      </c>
      <c r="M204" s="30">
        <v>5</v>
      </c>
      <c r="N204" s="28">
        <f t="shared" si="23"/>
        <v>6.0634592000000023</v>
      </c>
      <c r="O204" s="39">
        <f t="shared" si="24"/>
        <v>43.130755200000017</v>
      </c>
    </row>
    <row r="205" spans="1:15" x14ac:dyDescent="0.3">
      <c r="A205" s="19"/>
      <c r="B205" s="20">
        <v>0.85416666666666663</v>
      </c>
      <c r="C205" s="21">
        <v>41.8</v>
      </c>
      <c r="D205" s="33">
        <v>34.6</v>
      </c>
      <c r="E205" s="7">
        <v>26</v>
      </c>
      <c r="F205" s="11">
        <f t="shared" si="19"/>
        <v>7.1999999999999957</v>
      </c>
      <c r="G205" s="23">
        <f t="shared" si="19"/>
        <v>8.6000000000000014</v>
      </c>
      <c r="H205" s="24">
        <f t="shared" si="20"/>
        <v>45.569620253164537</v>
      </c>
      <c r="I205" s="25">
        <v>3433</v>
      </c>
      <c r="J205" s="26">
        <f t="shared" si="21"/>
        <v>7.1999999999999957</v>
      </c>
      <c r="K205" s="21">
        <f t="shared" si="22"/>
        <v>37.817927999999974</v>
      </c>
      <c r="L205" s="38">
        <v>1.75</v>
      </c>
      <c r="M205" s="30">
        <v>5</v>
      </c>
      <c r="N205" s="28">
        <f t="shared" si="23"/>
        <v>6.5635855999999944</v>
      </c>
      <c r="O205" s="39">
        <f t="shared" si="24"/>
        <v>46.13151359999997</v>
      </c>
    </row>
    <row r="206" spans="1:15" x14ac:dyDescent="0.3">
      <c r="A206" s="19"/>
      <c r="B206" s="20">
        <v>0.9375</v>
      </c>
      <c r="C206" s="21">
        <v>41.3</v>
      </c>
      <c r="D206" s="33">
        <v>34.200000000000003</v>
      </c>
      <c r="E206" s="7">
        <v>26</v>
      </c>
      <c r="F206" s="11">
        <f t="shared" si="19"/>
        <v>7.0999999999999943</v>
      </c>
      <c r="G206" s="23">
        <f t="shared" si="19"/>
        <v>8.2000000000000028</v>
      </c>
      <c r="H206" s="24">
        <f t="shared" si="20"/>
        <v>46.405228758169912</v>
      </c>
      <c r="I206" s="25">
        <v>3328</v>
      </c>
      <c r="J206" s="26">
        <f t="shared" si="21"/>
        <v>7.0999999999999943</v>
      </c>
      <c r="K206" s="21">
        <f t="shared" si="22"/>
        <v>36.152063999999967</v>
      </c>
      <c r="L206" s="38">
        <v>1.75</v>
      </c>
      <c r="M206" s="30">
        <v>5</v>
      </c>
      <c r="N206" s="28">
        <f t="shared" si="23"/>
        <v>6.2304127999999936</v>
      </c>
      <c r="O206" s="39">
        <f t="shared" si="24"/>
        <v>44.132476799999964</v>
      </c>
    </row>
    <row r="207" spans="1:15" x14ac:dyDescent="0.3">
      <c r="A207" s="19"/>
      <c r="B207" s="20">
        <v>2.0833333333333332E-2</v>
      </c>
      <c r="C207" s="21">
        <v>40.9</v>
      </c>
      <c r="D207" s="33">
        <v>33.9</v>
      </c>
      <c r="E207" s="7">
        <v>26</v>
      </c>
      <c r="F207" s="11">
        <f t="shared" si="19"/>
        <v>7</v>
      </c>
      <c r="G207" s="23">
        <f t="shared" si="19"/>
        <v>7.8999999999999986</v>
      </c>
      <c r="H207" s="24">
        <f t="shared" si="20"/>
        <v>46.979865771812086</v>
      </c>
      <c r="I207" s="25">
        <v>3150</v>
      </c>
      <c r="J207" s="26">
        <f t="shared" si="21"/>
        <v>7</v>
      </c>
      <c r="K207" s="21">
        <f t="shared" si="22"/>
        <v>33.736499999999999</v>
      </c>
      <c r="L207" s="38">
        <v>1.75</v>
      </c>
      <c r="M207" s="30">
        <v>5</v>
      </c>
      <c r="N207" s="28">
        <f t="shared" si="23"/>
        <v>5.7473000000000001</v>
      </c>
      <c r="O207" s="39">
        <f t="shared" si="24"/>
        <v>41.233800000000002</v>
      </c>
    </row>
    <row r="208" spans="1:15" x14ac:dyDescent="0.3">
      <c r="A208" s="19"/>
      <c r="B208" s="20">
        <v>0.10416666666666667</v>
      </c>
      <c r="C208" s="21">
        <v>40.5</v>
      </c>
      <c r="D208" s="33">
        <v>33.5</v>
      </c>
      <c r="E208" s="7">
        <v>26</v>
      </c>
      <c r="F208" s="11">
        <f t="shared" si="19"/>
        <v>7</v>
      </c>
      <c r="G208" s="23">
        <f t="shared" si="19"/>
        <v>7.5</v>
      </c>
      <c r="H208" s="24">
        <f t="shared" si="20"/>
        <v>48.275862068965516</v>
      </c>
      <c r="I208" s="25">
        <v>3193</v>
      </c>
      <c r="J208" s="26">
        <f t="shared" si="21"/>
        <v>7</v>
      </c>
      <c r="K208" s="21">
        <f t="shared" si="22"/>
        <v>34.197029999999998</v>
      </c>
      <c r="L208" s="38">
        <v>1.75</v>
      </c>
      <c r="M208" s="30">
        <v>5</v>
      </c>
      <c r="N208" s="28">
        <f t="shared" si="23"/>
        <v>5.8394059999999994</v>
      </c>
      <c r="O208" s="39">
        <f t="shared" si="24"/>
        <v>41.786435999999995</v>
      </c>
    </row>
    <row r="209" spans="1:15" x14ac:dyDescent="0.3">
      <c r="A209" s="19"/>
      <c r="B209" s="20">
        <v>0.1875</v>
      </c>
      <c r="C209" s="21">
        <v>40.6</v>
      </c>
      <c r="D209" s="33">
        <v>33.5</v>
      </c>
      <c r="E209" s="7">
        <v>26</v>
      </c>
      <c r="F209" s="11">
        <f t="shared" si="19"/>
        <v>7.1000000000000014</v>
      </c>
      <c r="G209" s="23">
        <f t="shared" si="19"/>
        <v>7.5</v>
      </c>
      <c r="H209" s="24">
        <f t="shared" si="20"/>
        <v>48.630136986301373</v>
      </c>
      <c r="I209" s="25">
        <v>3370</v>
      </c>
      <c r="J209" s="26">
        <f t="shared" si="21"/>
        <v>7.1000000000000014</v>
      </c>
      <c r="K209" s="21">
        <f t="shared" si="22"/>
        <v>36.608310000000003</v>
      </c>
      <c r="L209" s="38">
        <v>1.75</v>
      </c>
      <c r="M209" s="30">
        <v>5</v>
      </c>
      <c r="N209" s="28">
        <f t="shared" si="23"/>
        <v>6.3216620000000008</v>
      </c>
      <c r="O209" s="39">
        <f t="shared" si="24"/>
        <v>44.679972000000006</v>
      </c>
    </row>
    <row r="210" spans="1:15" s="3" customFormat="1" x14ac:dyDescent="0.3">
      <c r="A210" s="34"/>
      <c r="B210" s="34"/>
      <c r="C210" s="34"/>
      <c r="D210" s="34"/>
      <c r="E210" s="34"/>
      <c r="F210" s="34"/>
      <c r="G210" s="34" t="s">
        <v>8</v>
      </c>
      <c r="H210" s="34">
        <f>AVERAGE(H198:H209)</f>
        <v>47.231700426365855</v>
      </c>
      <c r="I210" s="34"/>
      <c r="J210" s="34"/>
      <c r="K210" s="34">
        <f>AVERAGE(K198:K209)</f>
        <v>35.876230499999998</v>
      </c>
      <c r="L210" s="34"/>
      <c r="M210" s="34"/>
      <c r="N210" s="34">
        <f>AVERAGE(N198:N209)</f>
        <v>6.1752460999999998</v>
      </c>
      <c r="O210" s="34">
        <f>AVERAGE(O198:O209)</f>
        <v>43.801476599999994</v>
      </c>
    </row>
    <row r="211" spans="1:15" x14ac:dyDescent="0.3">
      <c r="A211" s="19">
        <v>44578</v>
      </c>
      <c r="B211" s="20">
        <v>0.27083333333333331</v>
      </c>
      <c r="C211" s="21">
        <v>40.200000000000003</v>
      </c>
      <c r="D211" s="33">
        <v>33.200000000000003</v>
      </c>
      <c r="E211" s="7">
        <v>26</v>
      </c>
      <c r="F211" s="11">
        <f t="shared" si="19"/>
        <v>7</v>
      </c>
      <c r="G211" s="23">
        <f t="shared" si="19"/>
        <v>7.2000000000000028</v>
      </c>
      <c r="H211" s="24">
        <f t="shared" si="20"/>
        <v>49.295774647887313</v>
      </c>
      <c r="I211" s="25">
        <v>3337</v>
      </c>
      <c r="J211" s="26">
        <f t="shared" si="21"/>
        <v>7</v>
      </c>
      <c r="K211" s="21">
        <f t="shared" si="22"/>
        <v>35.739269999999998</v>
      </c>
      <c r="L211" s="38">
        <v>1.75</v>
      </c>
      <c r="M211" s="30">
        <v>5</v>
      </c>
      <c r="N211" s="28">
        <f t="shared" si="23"/>
        <v>6.1478539999999997</v>
      </c>
      <c r="O211" s="39">
        <f t="shared" si="24"/>
        <v>43.637124</v>
      </c>
    </row>
    <row r="212" spans="1:15" x14ac:dyDescent="0.3">
      <c r="A212" s="31"/>
      <c r="B212" s="20">
        <v>0.35416666666666669</v>
      </c>
      <c r="C212" s="21">
        <v>40.200000000000003</v>
      </c>
      <c r="D212" s="33">
        <v>33.200000000000003</v>
      </c>
      <c r="E212" s="7">
        <v>26</v>
      </c>
      <c r="F212" s="11">
        <f t="shared" si="19"/>
        <v>7</v>
      </c>
      <c r="G212" s="23">
        <f t="shared" si="19"/>
        <v>7.2000000000000028</v>
      </c>
      <c r="H212" s="24">
        <f t="shared" si="20"/>
        <v>49.295774647887313</v>
      </c>
      <c r="I212" s="25">
        <v>3369</v>
      </c>
      <c r="J212" s="26">
        <f t="shared" si="21"/>
        <v>7</v>
      </c>
      <c r="K212" s="21">
        <f t="shared" si="22"/>
        <v>36.081989999999998</v>
      </c>
      <c r="L212" s="38">
        <v>1.75</v>
      </c>
      <c r="M212" s="30">
        <v>5</v>
      </c>
      <c r="N212" s="28">
        <f t="shared" si="23"/>
        <v>6.2163979999999999</v>
      </c>
      <c r="O212" s="39">
        <f t="shared" si="24"/>
        <v>44.048387999999996</v>
      </c>
    </row>
    <row r="213" spans="1:15" x14ac:dyDescent="0.3">
      <c r="A213" s="31"/>
      <c r="B213" s="20">
        <v>0.4375</v>
      </c>
      <c r="C213" s="21">
        <v>40.6</v>
      </c>
      <c r="D213" s="33">
        <v>33.5</v>
      </c>
      <c r="E213" s="7">
        <v>26</v>
      </c>
      <c r="F213" s="11">
        <f t="shared" si="19"/>
        <v>7.1000000000000014</v>
      </c>
      <c r="G213" s="23">
        <f t="shared" si="19"/>
        <v>7.5</v>
      </c>
      <c r="H213" s="24">
        <f t="shared" si="20"/>
        <v>48.630136986301373</v>
      </c>
      <c r="I213" s="25">
        <v>3332</v>
      </c>
      <c r="J213" s="26">
        <f t="shared" si="21"/>
        <v>7.1000000000000014</v>
      </c>
      <c r="K213" s="21">
        <f t="shared" si="22"/>
        <v>36.195516000000005</v>
      </c>
      <c r="L213" s="38">
        <v>1.75</v>
      </c>
      <c r="M213" s="30">
        <v>5</v>
      </c>
      <c r="N213" s="28">
        <f t="shared" si="23"/>
        <v>6.2391032000000006</v>
      </c>
      <c r="O213" s="39">
        <f t="shared" si="24"/>
        <v>44.184619200000007</v>
      </c>
    </row>
    <row r="214" spans="1:15" x14ac:dyDescent="0.3">
      <c r="A214" s="31"/>
      <c r="B214" s="20">
        <v>0.52083333333333337</v>
      </c>
      <c r="C214" s="21">
        <v>40.799999999999997</v>
      </c>
      <c r="D214" s="33">
        <v>33.6</v>
      </c>
      <c r="E214" s="7">
        <v>26</v>
      </c>
      <c r="F214" s="11">
        <f t="shared" si="19"/>
        <v>7.1999999999999957</v>
      </c>
      <c r="G214" s="23">
        <f t="shared" si="19"/>
        <v>7.6000000000000014</v>
      </c>
      <c r="H214" s="24">
        <f t="shared" si="20"/>
        <v>48.648648648648631</v>
      </c>
      <c r="I214" s="25">
        <v>3237</v>
      </c>
      <c r="J214" s="26">
        <f t="shared" si="21"/>
        <v>7.1999999999999957</v>
      </c>
      <c r="K214" s="21">
        <f t="shared" si="22"/>
        <v>35.658791999999977</v>
      </c>
      <c r="L214" s="38">
        <v>1.75</v>
      </c>
      <c r="M214" s="30">
        <v>5</v>
      </c>
      <c r="N214" s="28">
        <f t="shared" si="23"/>
        <v>6.1317583999999954</v>
      </c>
      <c r="O214" s="39">
        <f t="shared" si="24"/>
        <v>43.540550399999972</v>
      </c>
    </row>
    <row r="215" spans="1:15" x14ac:dyDescent="0.3">
      <c r="A215" s="31"/>
      <c r="B215" s="20">
        <v>0.60416666666666663</v>
      </c>
      <c r="C215" s="21">
        <v>40.799999999999997</v>
      </c>
      <c r="D215" s="33">
        <v>33.6</v>
      </c>
      <c r="E215" s="7">
        <v>26</v>
      </c>
      <c r="F215" s="11">
        <f t="shared" si="19"/>
        <v>7.1999999999999957</v>
      </c>
      <c r="G215" s="23">
        <f t="shared" si="19"/>
        <v>7.6000000000000014</v>
      </c>
      <c r="H215" s="24">
        <f t="shared" si="20"/>
        <v>48.648648648648631</v>
      </c>
      <c r="I215" s="25">
        <v>3438</v>
      </c>
      <c r="J215" s="26">
        <f t="shared" si="21"/>
        <v>7.1999999999999957</v>
      </c>
      <c r="K215" s="21">
        <f t="shared" si="22"/>
        <v>37.873007999999977</v>
      </c>
      <c r="L215" s="38">
        <v>1.75</v>
      </c>
      <c r="M215" s="30">
        <v>5</v>
      </c>
      <c r="N215" s="28">
        <f t="shared" si="23"/>
        <v>6.5746015999999958</v>
      </c>
      <c r="O215" s="39">
        <f t="shared" si="24"/>
        <v>46.197609599999971</v>
      </c>
    </row>
    <row r="216" spans="1:15" x14ac:dyDescent="0.3">
      <c r="A216" s="31"/>
      <c r="B216" s="20">
        <v>0.6875</v>
      </c>
      <c r="C216" s="21">
        <v>40.799999999999997</v>
      </c>
      <c r="D216" s="33">
        <v>33.700000000000003</v>
      </c>
      <c r="E216" s="7">
        <v>26</v>
      </c>
      <c r="F216" s="11">
        <f t="shared" si="19"/>
        <v>7.0999999999999943</v>
      </c>
      <c r="G216" s="23">
        <f t="shared" si="19"/>
        <v>7.7000000000000028</v>
      </c>
      <c r="H216" s="24">
        <f t="shared" si="20"/>
        <v>47.972972972972947</v>
      </c>
      <c r="I216" s="25">
        <v>3261</v>
      </c>
      <c r="J216" s="26">
        <f t="shared" si="21"/>
        <v>7.0999999999999943</v>
      </c>
      <c r="K216" s="21">
        <f t="shared" si="22"/>
        <v>35.424242999999969</v>
      </c>
      <c r="L216" s="38">
        <v>1.75</v>
      </c>
      <c r="M216" s="30">
        <v>5</v>
      </c>
      <c r="N216" s="28">
        <f t="shared" si="23"/>
        <v>6.0848485999999937</v>
      </c>
      <c r="O216" s="39">
        <f t="shared" si="24"/>
        <v>43.259091599999962</v>
      </c>
    </row>
    <row r="217" spans="1:15" x14ac:dyDescent="0.3">
      <c r="A217" s="31"/>
      <c r="B217" s="20">
        <v>0.77083333333333337</v>
      </c>
      <c r="C217" s="21">
        <v>40.5</v>
      </c>
      <c r="D217" s="33">
        <v>33.299999999999997</v>
      </c>
      <c r="E217" s="7">
        <v>26</v>
      </c>
      <c r="F217" s="11">
        <f t="shared" si="19"/>
        <v>7.2000000000000028</v>
      </c>
      <c r="G217" s="23">
        <f t="shared" si="19"/>
        <v>7.2999999999999972</v>
      </c>
      <c r="H217" s="24">
        <f t="shared" si="20"/>
        <v>49.655172413793125</v>
      </c>
      <c r="I217" s="25">
        <v>3220</v>
      </c>
      <c r="J217" s="26">
        <f t="shared" si="21"/>
        <v>7.2000000000000028</v>
      </c>
      <c r="K217" s="21">
        <f t="shared" si="22"/>
        <v>35.471520000000012</v>
      </c>
      <c r="L217" s="38">
        <v>1.75</v>
      </c>
      <c r="M217" s="30">
        <v>5</v>
      </c>
      <c r="N217" s="28">
        <f t="shared" si="23"/>
        <v>6.0943040000000028</v>
      </c>
      <c r="O217" s="39">
        <f t="shared" si="24"/>
        <v>43.315824000000013</v>
      </c>
    </row>
    <row r="218" spans="1:15" x14ac:dyDescent="0.3">
      <c r="A218" s="31"/>
      <c r="B218" s="20">
        <v>0.85416666666666663</v>
      </c>
      <c r="C218" s="21">
        <v>40.6</v>
      </c>
      <c r="D218" s="33">
        <v>33.4</v>
      </c>
      <c r="E218" s="7">
        <v>26</v>
      </c>
      <c r="F218" s="11">
        <f t="shared" si="19"/>
        <v>7.2000000000000028</v>
      </c>
      <c r="G218" s="23">
        <f t="shared" si="19"/>
        <v>7.3999999999999986</v>
      </c>
      <c r="H218" s="24">
        <f t="shared" si="20"/>
        <v>49.315068493150697</v>
      </c>
      <c r="I218" s="25">
        <v>3221</v>
      </c>
      <c r="J218" s="26">
        <f t="shared" si="21"/>
        <v>7.2000000000000028</v>
      </c>
      <c r="K218" s="21">
        <f t="shared" si="22"/>
        <v>35.48253600000001</v>
      </c>
      <c r="L218" s="38">
        <v>1.75</v>
      </c>
      <c r="M218" s="30">
        <v>5</v>
      </c>
      <c r="N218" s="28">
        <f t="shared" si="23"/>
        <v>6.0965072000000022</v>
      </c>
      <c r="O218" s="39">
        <f t="shared" si="24"/>
        <v>43.329043200000015</v>
      </c>
    </row>
    <row r="219" spans="1:15" x14ac:dyDescent="0.3">
      <c r="A219" s="31"/>
      <c r="B219" s="20">
        <v>0.9375</v>
      </c>
      <c r="C219" s="21">
        <v>40.299999999999997</v>
      </c>
      <c r="D219" s="33">
        <v>33.299999999999997</v>
      </c>
      <c r="E219" s="7">
        <v>26</v>
      </c>
      <c r="F219" s="11">
        <f t="shared" si="19"/>
        <v>7</v>
      </c>
      <c r="G219" s="23">
        <f t="shared" si="19"/>
        <v>7.2999999999999972</v>
      </c>
      <c r="H219" s="24">
        <f t="shared" si="20"/>
        <v>48.951048951048961</v>
      </c>
      <c r="I219" s="25">
        <v>3350</v>
      </c>
      <c r="J219" s="26">
        <f t="shared" si="21"/>
        <v>7</v>
      </c>
      <c r="K219" s="21">
        <f t="shared" si="22"/>
        <v>35.878499999999995</v>
      </c>
      <c r="L219" s="38">
        <v>1.75</v>
      </c>
      <c r="M219" s="30">
        <v>5</v>
      </c>
      <c r="N219" s="28">
        <f t="shared" si="23"/>
        <v>6.1756999999999991</v>
      </c>
      <c r="O219" s="39">
        <f t="shared" si="24"/>
        <v>43.804199999999994</v>
      </c>
    </row>
    <row r="220" spans="1:15" x14ac:dyDescent="0.3">
      <c r="A220" s="31"/>
      <c r="B220" s="20">
        <v>2.0833333333333332E-2</v>
      </c>
      <c r="C220" s="21">
        <v>40.299999999999997</v>
      </c>
      <c r="D220" s="33">
        <v>33.200000000000003</v>
      </c>
      <c r="E220" s="7">
        <v>26</v>
      </c>
      <c r="F220" s="11">
        <f t="shared" si="19"/>
        <v>7.0999999999999943</v>
      </c>
      <c r="G220" s="23">
        <f t="shared" si="19"/>
        <v>7.2000000000000028</v>
      </c>
      <c r="H220" s="24">
        <f t="shared" si="20"/>
        <v>49.650349650349618</v>
      </c>
      <c r="I220" s="25">
        <v>3287</v>
      </c>
      <c r="J220" s="26">
        <f t="shared" si="21"/>
        <v>7.0999999999999943</v>
      </c>
      <c r="K220" s="21">
        <f t="shared" si="22"/>
        <v>35.706680999999968</v>
      </c>
      <c r="L220" s="38">
        <v>1.75</v>
      </c>
      <c r="M220" s="30">
        <v>5</v>
      </c>
      <c r="N220" s="28">
        <f t="shared" si="23"/>
        <v>6.1413361999999934</v>
      </c>
      <c r="O220" s="39">
        <f t="shared" si="24"/>
        <v>43.598017199999958</v>
      </c>
    </row>
    <row r="221" spans="1:15" x14ac:dyDescent="0.3">
      <c r="A221" s="31"/>
      <c r="B221" s="20">
        <v>0.10416666666666667</v>
      </c>
      <c r="C221" s="21">
        <v>39.799999999999997</v>
      </c>
      <c r="D221" s="33">
        <v>33.799999999999997</v>
      </c>
      <c r="E221" s="7">
        <v>26</v>
      </c>
      <c r="F221" s="11">
        <f t="shared" si="19"/>
        <v>6</v>
      </c>
      <c r="G221" s="23">
        <f t="shared" si="19"/>
        <v>7.7999999999999972</v>
      </c>
      <c r="H221" s="24">
        <f t="shared" si="20"/>
        <v>43.478260869565226</v>
      </c>
      <c r="I221" s="25">
        <v>3308</v>
      </c>
      <c r="J221" s="26">
        <f t="shared" si="21"/>
        <v>6</v>
      </c>
      <c r="K221" s="21">
        <f t="shared" si="22"/>
        <v>30.367439999999998</v>
      </c>
      <c r="L221" s="38">
        <v>1.75</v>
      </c>
      <c r="M221" s="30">
        <v>5</v>
      </c>
      <c r="N221" s="28">
        <f t="shared" si="23"/>
        <v>5.0734879999999993</v>
      </c>
      <c r="O221" s="39">
        <f t="shared" si="24"/>
        <v>37.190928</v>
      </c>
    </row>
    <row r="222" spans="1:15" x14ac:dyDescent="0.3">
      <c r="A222" s="31"/>
      <c r="B222" s="20">
        <v>0.1875</v>
      </c>
      <c r="C222" s="21">
        <v>39.299999999999997</v>
      </c>
      <c r="D222" s="33">
        <v>33.299999999999997</v>
      </c>
      <c r="E222" s="7">
        <v>26</v>
      </c>
      <c r="F222" s="11">
        <f t="shared" si="19"/>
        <v>6</v>
      </c>
      <c r="G222" s="23">
        <f t="shared" si="19"/>
        <v>7.2999999999999972</v>
      </c>
      <c r="H222" s="24">
        <f t="shared" si="20"/>
        <v>45.112781954887225</v>
      </c>
      <c r="I222" s="25">
        <v>3162</v>
      </c>
      <c r="J222" s="26">
        <f t="shared" si="21"/>
        <v>6</v>
      </c>
      <c r="K222" s="21">
        <f t="shared" si="22"/>
        <v>29.027160000000002</v>
      </c>
      <c r="L222" s="38">
        <v>1.75</v>
      </c>
      <c r="M222" s="30">
        <v>5</v>
      </c>
      <c r="N222" s="28">
        <f t="shared" si="23"/>
        <v>4.8054320000000006</v>
      </c>
      <c r="O222" s="39">
        <f t="shared" si="24"/>
        <v>35.582592000000005</v>
      </c>
    </row>
    <row r="223" spans="1:15" s="3" customFormat="1" x14ac:dyDescent="0.3">
      <c r="A223" s="34"/>
      <c r="B223" s="34"/>
      <c r="C223" s="34"/>
      <c r="D223" s="34"/>
      <c r="E223" s="34"/>
      <c r="F223" s="34"/>
      <c r="G223" s="34" t="s">
        <v>8</v>
      </c>
      <c r="H223" s="34">
        <f>AVERAGE(H211:H222)</f>
        <v>48.221219907095097</v>
      </c>
      <c r="I223" s="34"/>
      <c r="J223" s="34"/>
      <c r="K223" s="34">
        <f>AVERAGE(K211:K222)</f>
        <v>34.908887999999983</v>
      </c>
      <c r="L223" s="34"/>
      <c r="M223" s="34"/>
      <c r="N223" s="34">
        <f>AVERAGE(N211:N222)</f>
        <v>5.9817775999999983</v>
      </c>
      <c r="O223" s="34">
        <f>AVERAGE(O211:O222)</f>
        <v>42.640665599999984</v>
      </c>
    </row>
    <row r="224" spans="1:15" x14ac:dyDescent="0.3">
      <c r="A224" s="19">
        <v>44579</v>
      </c>
      <c r="B224" s="20">
        <v>0.27083333333333331</v>
      </c>
      <c r="C224" s="21">
        <v>39.299999999999997</v>
      </c>
      <c r="D224" s="33">
        <v>32.299999999999997</v>
      </c>
      <c r="E224" s="7">
        <v>26</v>
      </c>
      <c r="F224" s="11">
        <f t="shared" si="19"/>
        <v>7</v>
      </c>
      <c r="G224" s="23">
        <f t="shared" si="19"/>
        <v>6.2999999999999972</v>
      </c>
      <c r="H224" s="24">
        <f t="shared" si="20"/>
        <v>52.631578947368432</v>
      </c>
      <c r="I224" s="25">
        <v>3286</v>
      </c>
      <c r="J224" s="26">
        <f t="shared" si="21"/>
        <v>7</v>
      </c>
      <c r="K224" s="21">
        <f t="shared" si="22"/>
        <v>35.193059999999996</v>
      </c>
      <c r="L224" s="38">
        <v>1.75</v>
      </c>
      <c r="M224" s="30">
        <v>5</v>
      </c>
      <c r="N224" s="28">
        <f t="shared" si="23"/>
        <v>6.0386119999999988</v>
      </c>
      <c r="O224" s="39">
        <f t="shared" si="24"/>
        <v>42.981671999999996</v>
      </c>
    </row>
    <row r="225" spans="1:15" x14ac:dyDescent="0.3">
      <c r="A225" s="19"/>
      <c r="B225" s="20">
        <v>0.35416666666666669</v>
      </c>
      <c r="C225" s="21">
        <v>39.5</v>
      </c>
      <c r="D225" s="33">
        <v>32.299999999999997</v>
      </c>
      <c r="E225" s="7">
        <v>26</v>
      </c>
      <c r="F225" s="11">
        <f t="shared" si="19"/>
        <v>7.2000000000000028</v>
      </c>
      <c r="G225" s="23">
        <f t="shared" si="19"/>
        <v>6.2999999999999972</v>
      </c>
      <c r="H225" s="24">
        <f t="shared" si="20"/>
        <v>53.333333333333357</v>
      </c>
      <c r="I225" s="25">
        <v>3275</v>
      </c>
      <c r="J225" s="26">
        <f t="shared" si="21"/>
        <v>7.2000000000000028</v>
      </c>
      <c r="K225" s="21">
        <f t="shared" si="22"/>
        <v>36.077400000000011</v>
      </c>
      <c r="L225" s="38">
        <v>1.75</v>
      </c>
      <c r="M225" s="30">
        <v>5</v>
      </c>
      <c r="N225" s="28">
        <f t="shared" si="23"/>
        <v>6.2154800000000021</v>
      </c>
      <c r="O225" s="39">
        <f t="shared" si="24"/>
        <v>44.042880000000011</v>
      </c>
    </row>
    <row r="226" spans="1:15" x14ac:dyDescent="0.3">
      <c r="A226" s="19"/>
      <c r="B226" s="20">
        <v>0.4375</v>
      </c>
      <c r="C226" s="21">
        <v>39.6</v>
      </c>
      <c r="D226" s="33">
        <v>32</v>
      </c>
      <c r="E226" s="7">
        <v>26</v>
      </c>
      <c r="F226" s="11">
        <f t="shared" si="19"/>
        <v>7.6000000000000014</v>
      </c>
      <c r="G226" s="23">
        <f t="shared" si="19"/>
        <v>6</v>
      </c>
      <c r="H226" s="24">
        <f t="shared" si="20"/>
        <v>55.882352941176471</v>
      </c>
      <c r="I226" s="25">
        <v>3216</v>
      </c>
      <c r="J226" s="26">
        <f t="shared" si="21"/>
        <v>7.6000000000000014</v>
      </c>
      <c r="K226" s="21">
        <f t="shared" si="22"/>
        <v>37.395648000000001</v>
      </c>
      <c r="L226" s="38">
        <v>1.75</v>
      </c>
      <c r="M226" s="30">
        <v>5</v>
      </c>
      <c r="N226" s="28">
        <f t="shared" si="23"/>
        <v>6.4791296000000003</v>
      </c>
      <c r="O226" s="39">
        <f t="shared" si="24"/>
        <v>45.624777600000002</v>
      </c>
    </row>
    <row r="227" spans="1:15" x14ac:dyDescent="0.3">
      <c r="A227" s="19"/>
      <c r="B227" s="20">
        <v>0.52083333333333337</v>
      </c>
      <c r="C227" s="21">
        <v>39.4</v>
      </c>
      <c r="D227" s="33">
        <v>32.799999999999997</v>
      </c>
      <c r="E227" s="7">
        <v>26</v>
      </c>
      <c r="F227" s="11">
        <f t="shared" si="19"/>
        <v>6.6000000000000014</v>
      </c>
      <c r="G227" s="23">
        <f t="shared" si="19"/>
        <v>6.7999999999999972</v>
      </c>
      <c r="H227" s="24">
        <f t="shared" si="20"/>
        <v>49.253731343283597</v>
      </c>
      <c r="I227" s="25">
        <v>3254</v>
      </c>
      <c r="J227" s="26">
        <f t="shared" si="21"/>
        <v>6.6000000000000014</v>
      </c>
      <c r="K227" s="21">
        <f t="shared" si="22"/>
        <v>32.858892000000004</v>
      </c>
      <c r="L227" s="38">
        <v>1.75</v>
      </c>
      <c r="M227" s="30">
        <v>5</v>
      </c>
      <c r="N227" s="28">
        <f t="shared" si="23"/>
        <v>5.5717784000000012</v>
      </c>
      <c r="O227" s="39">
        <f t="shared" si="24"/>
        <v>40.180670400000004</v>
      </c>
    </row>
    <row r="228" spans="1:15" x14ac:dyDescent="0.3">
      <c r="A228" s="19"/>
      <c r="B228" s="20">
        <v>0.60416666666666663</v>
      </c>
      <c r="C228" s="21">
        <v>39.200000000000003</v>
      </c>
      <c r="D228" s="33">
        <v>32.5</v>
      </c>
      <c r="E228" s="7">
        <v>26</v>
      </c>
      <c r="F228" s="11">
        <f t="shared" si="19"/>
        <v>6.7000000000000028</v>
      </c>
      <c r="G228" s="23">
        <f t="shared" si="19"/>
        <v>6.5</v>
      </c>
      <c r="H228" s="24">
        <f t="shared" si="20"/>
        <v>50.757575757575765</v>
      </c>
      <c r="I228" s="25">
        <v>3329</v>
      </c>
      <c r="J228" s="26">
        <f t="shared" si="21"/>
        <v>6.7000000000000028</v>
      </c>
      <c r="K228" s="21">
        <f t="shared" si="22"/>
        <v>34.125579000000009</v>
      </c>
      <c r="L228" s="38">
        <v>1.75</v>
      </c>
      <c r="M228" s="30">
        <v>5</v>
      </c>
      <c r="N228" s="28">
        <f t="shared" si="23"/>
        <v>5.8251158000000016</v>
      </c>
      <c r="O228" s="39">
        <f t="shared" si="24"/>
        <v>41.700694800000008</v>
      </c>
    </row>
    <row r="229" spans="1:15" x14ac:dyDescent="0.3">
      <c r="A229" s="19"/>
      <c r="B229" s="20">
        <v>0.6875</v>
      </c>
      <c r="C229" s="21">
        <v>39.1</v>
      </c>
      <c r="D229" s="33">
        <v>32.4</v>
      </c>
      <c r="E229" s="7">
        <v>26</v>
      </c>
      <c r="F229" s="11">
        <f t="shared" si="19"/>
        <v>6.7000000000000028</v>
      </c>
      <c r="G229" s="23">
        <f t="shared" si="19"/>
        <v>6.3999999999999986</v>
      </c>
      <c r="H229" s="24">
        <f t="shared" si="20"/>
        <v>51.145038167938949</v>
      </c>
      <c r="I229" s="25">
        <v>3203</v>
      </c>
      <c r="J229" s="26">
        <f t="shared" si="21"/>
        <v>6.7000000000000028</v>
      </c>
      <c r="K229" s="21">
        <f t="shared" si="22"/>
        <v>32.833953000000008</v>
      </c>
      <c r="L229" s="38">
        <v>1.75</v>
      </c>
      <c r="M229" s="30">
        <v>5</v>
      </c>
      <c r="N229" s="28">
        <f t="shared" si="23"/>
        <v>5.5667906000000018</v>
      </c>
      <c r="O229" s="39">
        <f t="shared" si="24"/>
        <v>40.150743600000013</v>
      </c>
    </row>
    <row r="230" spans="1:15" x14ac:dyDescent="0.3">
      <c r="A230" s="19"/>
      <c r="B230" s="20">
        <v>0.77083333333333337</v>
      </c>
      <c r="C230" s="21">
        <v>39.6</v>
      </c>
      <c r="D230" s="33">
        <v>33</v>
      </c>
      <c r="E230" s="7">
        <v>26</v>
      </c>
      <c r="F230" s="11">
        <f t="shared" si="19"/>
        <v>6.6000000000000014</v>
      </c>
      <c r="G230" s="23">
        <f t="shared" si="19"/>
        <v>7</v>
      </c>
      <c r="H230" s="24">
        <f t="shared" si="20"/>
        <v>48.529411764705884</v>
      </c>
      <c r="I230" s="25">
        <v>3155</v>
      </c>
      <c r="J230" s="26">
        <f t="shared" si="21"/>
        <v>6.6000000000000014</v>
      </c>
      <c r="K230" s="21">
        <f t="shared" si="22"/>
        <v>31.859190000000005</v>
      </c>
      <c r="L230" s="38">
        <v>1.75</v>
      </c>
      <c r="M230" s="30">
        <v>5</v>
      </c>
      <c r="N230" s="28">
        <f t="shared" si="23"/>
        <v>5.3718380000000012</v>
      </c>
      <c r="O230" s="39">
        <f t="shared" si="24"/>
        <v>38.981028000000009</v>
      </c>
    </row>
    <row r="231" spans="1:15" x14ac:dyDescent="0.3">
      <c r="A231" s="19"/>
      <c r="B231" s="20">
        <v>0.85416666666666663</v>
      </c>
      <c r="C231" s="21">
        <v>39.9</v>
      </c>
      <c r="D231" s="33">
        <v>33.200000000000003</v>
      </c>
      <c r="E231" s="7">
        <v>26</v>
      </c>
      <c r="F231" s="11">
        <f t="shared" si="19"/>
        <v>6.6999999999999957</v>
      </c>
      <c r="G231" s="23">
        <f t="shared" si="19"/>
        <v>7.2000000000000028</v>
      </c>
      <c r="H231" s="24">
        <f t="shared" si="20"/>
        <v>48.201438848920837</v>
      </c>
      <c r="I231" s="25">
        <v>3166</v>
      </c>
      <c r="J231" s="26">
        <f t="shared" si="21"/>
        <v>6.6999999999999957</v>
      </c>
      <c r="K231" s="21">
        <f t="shared" si="22"/>
        <v>32.454665999999975</v>
      </c>
      <c r="L231" s="38">
        <v>1.75</v>
      </c>
      <c r="M231" s="30">
        <v>5</v>
      </c>
      <c r="N231" s="28">
        <f t="shared" si="23"/>
        <v>5.4909331999999953</v>
      </c>
      <c r="O231" s="39">
        <f t="shared" si="24"/>
        <v>39.695599199999968</v>
      </c>
    </row>
    <row r="232" spans="1:15" x14ac:dyDescent="0.3">
      <c r="A232" s="19"/>
      <c r="B232" s="20">
        <v>0.9375</v>
      </c>
      <c r="C232" s="21">
        <v>39.9</v>
      </c>
      <c r="D232" s="33">
        <v>33.200000000000003</v>
      </c>
      <c r="E232" s="7">
        <v>26</v>
      </c>
      <c r="F232" s="11">
        <f t="shared" si="19"/>
        <v>6.6999999999999957</v>
      </c>
      <c r="G232" s="23">
        <f t="shared" si="19"/>
        <v>7.2000000000000028</v>
      </c>
      <c r="H232" s="24">
        <f t="shared" si="20"/>
        <v>48.201438848920837</v>
      </c>
      <c r="I232" s="25">
        <v>3265</v>
      </c>
      <c r="J232" s="26">
        <f t="shared" si="21"/>
        <v>6.6999999999999957</v>
      </c>
      <c r="K232" s="21">
        <f t="shared" si="22"/>
        <v>33.46951499999998</v>
      </c>
      <c r="L232" s="38">
        <v>1.75</v>
      </c>
      <c r="M232" s="30">
        <v>5</v>
      </c>
      <c r="N232" s="28">
        <f t="shared" si="23"/>
        <v>5.6939029999999962</v>
      </c>
      <c r="O232" s="39">
        <f t="shared" si="24"/>
        <v>40.913417999999979</v>
      </c>
    </row>
    <row r="233" spans="1:15" x14ac:dyDescent="0.3">
      <c r="A233" s="19"/>
      <c r="B233" s="20">
        <v>2.0833333333333332E-2</v>
      </c>
      <c r="C233" s="21">
        <v>40</v>
      </c>
      <c r="D233" s="33">
        <v>33.4</v>
      </c>
      <c r="E233" s="7">
        <v>26</v>
      </c>
      <c r="F233" s="11">
        <f t="shared" si="19"/>
        <v>6.6000000000000014</v>
      </c>
      <c r="G233" s="23">
        <f t="shared" si="19"/>
        <v>7.3999999999999986</v>
      </c>
      <c r="H233" s="24">
        <f t="shared" si="20"/>
        <v>47.142857142857153</v>
      </c>
      <c r="I233" s="25">
        <v>3295</v>
      </c>
      <c r="J233" s="26">
        <f t="shared" si="21"/>
        <v>6.6000000000000014</v>
      </c>
      <c r="K233" s="21">
        <f t="shared" si="22"/>
        <v>33.272910000000003</v>
      </c>
      <c r="L233" s="38">
        <v>1.75</v>
      </c>
      <c r="M233" s="30">
        <v>5</v>
      </c>
      <c r="N233" s="28">
        <f t="shared" si="23"/>
        <v>5.6545820000000004</v>
      </c>
      <c r="O233" s="39">
        <f t="shared" si="24"/>
        <v>40.677492000000001</v>
      </c>
    </row>
    <row r="234" spans="1:15" x14ac:dyDescent="0.3">
      <c r="A234" s="19"/>
      <c r="B234" s="20">
        <v>0.10416666666666667</v>
      </c>
      <c r="C234" s="21">
        <v>39.6</v>
      </c>
      <c r="D234" s="33">
        <v>33</v>
      </c>
      <c r="E234" s="7">
        <v>26</v>
      </c>
      <c r="F234" s="11">
        <f t="shared" si="19"/>
        <v>6.6000000000000014</v>
      </c>
      <c r="G234" s="23">
        <f t="shared" si="19"/>
        <v>7</v>
      </c>
      <c r="H234" s="24">
        <f t="shared" si="20"/>
        <v>48.529411764705884</v>
      </c>
      <c r="I234" s="25">
        <v>3272</v>
      </c>
      <c r="J234" s="26">
        <f t="shared" si="21"/>
        <v>6.6000000000000014</v>
      </c>
      <c r="K234" s="21">
        <f t="shared" si="22"/>
        <v>33.040656000000006</v>
      </c>
      <c r="L234" s="38">
        <v>1.75</v>
      </c>
      <c r="M234" s="30">
        <v>5</v>
      </c>
      <c r="N234" s="28">
        <f t="shared" si="23"/>
        <v>5.6081312000000008</v>
      </c>
      <c r="O234" s="39">
        <f t="shared" si="24"/>
        <v>40.398787200000008</v>
      </c>
    </row>
    <row r="235" spans="1:15" x14ac:dyDescent="0.3">
      <c r="A235" s="19"/>
      <c r="B235" s="20">
        <v>0.1875</v>
      </c>
      <c r="C235" s="21">
        <v>39.299999999999997</v>
      </c>
      <c r="D235" s="33">
        <v>32.9</v>
      </c>
      <c r="E235" s="7">
        <v>26</v>
      </c>
      <c r="F235" s="11">
        <f t="shared" si="19"/>
        <v>6.3999999999999986</v>
      </c>
      <c r="G235" s="23">
        <f t="shared" si="19"/>
        <v>6.8999999999999986</v>
      </c>
      <c r="H235" s="24">
        <f t="shared" si="20"/>
        <v>48.120300751879697</v>
      </c>
      <c r="I235" s="25">
        <v>3381</v>
      </c>
      <c r="J235" s="26">
        <f t="shared" si="21"/>
        <v>6.3999999999999986</v>
      </c>
      <c r="K235" s="21">
        <f t="shared" si="22"/>
        <v>33.106751999999993</v>
      </c>
      <c r="L235" s="38">
        <v>1.75</v>
      </c>
      <c r="M235" s="30">
        <v>5</v>
      </c>
      <c r="N235" s="28">
        <f t="shared" si="23"/>
        <v>5.621350399999999</v>
      </c>
      <c r="O235" s="39">
        <f t="shared" si="24"/>
        <v>40.47810239999999</v>
      </c>
    </row>
    <row r="236" spans="1:15" s="3" customFormat="1" x14ac:dyDescent="0.3">
      <c r="A236" s="34"/>
      <c r="B236" s="34"/>
      <c r="C236" s="34"/>
      <c r="D236" s="34"/>
      <c r="E236" s="34"/>
      <c r="F236" s="34"/>
      <c r="G236" s="34" t="s">
        <v>8</v>
      </c>
      <c r="H236" s="34">
        <f>AVERAGE(H224:H235)</f>
        <v>50.144039134388898</v>
      </c>
      <c r="I236" s="34"/>
      <c r="J236" s="34"/>
      <c r="K236" s="34">
        <f>AVERAGE(K224:K235)</f>
        <v>33.807351750000002</v>
      </c>
      <c r="L236" s="34"/>
      <c r="M236" s="34"/>
      <c r="N236" s="34">
        <f>AVERAGE(N224:N235)</f>
        <v>5.7614703499999997</v>
      </c>
      <c r="O236" s="34">
        <f>AVERAGE(O224:O235)</f>
        <v>41.318822099999998</v>
      </c>
    </row>
    <row r="237" spans="1:15" x14ac:dyDescent="0.3">
      <c r="A237" s="19">
        <v>44580</v>
      </c>
      <c r="B237" s="20">
        <v>0.27083333333333331</v>
      </c>
      <c r="C237" s="21">
        <v>38.799999999999997</v>
      </c>
      <c r="D237" s="33">
        <v>32.5</v>
      </c>
      <c r="E237" s="7">
        <v>26</v>
      </c>
      <c r="F237" s="11">
        <f t="shared" si="19"/>
        <v>6.2999999999999972</v>
      </c>
      <c r="G237" s="23">
        <f t="shared" si="19"/>
        <v>6.5</v>
      </c>
      <c r="H237" s="24">
        <f t="shared" si="20"/>
        <v>49.218749999999986</v>
      </c>
      <c r="I237" s="25">
        <v>3248</v>
      </c>
      <c r="J237" s="26">
        <f t="shared" si="21"/>
        <v>6.2999999999999972</v>
      </c>
      <c r="K237" s="21">
        <f t="shared" si="22"/>
        <v>31.307471999999983</v>
      </c>
      <c r="L237" s="38">
        <v>1.75</v>
      </c>
      <c r="M237" s="30">
        <v>5</v>
      </c>
      <c r="N237" s="28">
        <f t="shared" si="23"/>
        <v>5.2614943999999966</v>
      </c>
      <c r="O237" s="39">
        <f t="shared" si="24"/>
        <v>38.318966399999979</v>
      </c>
    </row>
    <row r="238" spans="1:15" x14ac:dyDescent="0.3">
      <c r="A238" s="31"/>
      <c r="B238" s="20">
        <v>0.35416666666666669</v>
      </c>
      <c r="C238" s="21">
        <v>38.5</v>
      </c>
      <c r="D238" s="33">
        <v>32.1</v>
      </c>
      <c r="E238" s="7">
        <v>26</v>
      </c>
      <c r="F238" s="11">
        <f t="shared" si="19"/>
        <v>6.3999999999999986</v>
      </c>
      <c r="G238" s="23">
        <f t="shared" si="19"/>
        <v>6.1000000000000014</v>
      </c>
      <c r="H238" s="24">
        <f t="shared" si="20"/>
        <v>51.199999999999989</v>
      </c>
      <c r="I238" s="25">
        <v>3255</v>
      </c>
      <c r="J238" s="26">
        <f t="shared" si="21"/>
        <v>6.3999999999999986</v>
      </c>
      <c r="K238" s="21">
        <f t="shared" si="22"/>
        <v>31.872959999999992</v>
      </c>
      <c r="L238" s="38">
        <v>1.75</v>
      </c>
      <c r="M238" s="30">
        <v>5</v>
      </c>
      <c r="N238" s="28">
        <f t="shared" si="23"/>
        <v>5.374591999999998</v>
      </c>
      <c r="O238" s="39">
        <f t="shared" si="24"/>
        <v>38.997551999999992</v>
      </c>
    </row>
    <row r="239" spans="1:15" x14ac:dyDescent="0.3">
      <c r="A239" s="31"/>
      <c r="B239" s="20">
        <v>0.4375</v>
      </c>
      <c r="C239" s="21">
        <v>39.4</v>
      </c>
      <c r="D239" s="33">
        <v>32.799999999999997</v>
      </c>
      <c r="E239" s="7">
        <v>26</v>
      </c>
      <c r="F239" s="11">
        <f t="shared" si="19"/>
        <v>6.6000000000000014</v>
      </c>
      <c r="G239" s="23">
        <f t="shared" si="19"/>
        <v>6.7999999999999972</v>
      </c>
      <c r="H239" s="24">
        <f t="shared" si="20"/>
        <v>49.253731343283597</v>
      </c>
      <c r="I239" s="25">
        <v>3261</v>
      </c>
      <c r="J239" s="26">
        <f t="shared" si="21"/>
        <v>6.6000000000000014</v>
      </c>
      <c r="K239" s="21">
        <f t="shared" si="22"/>
        <v>32.929578000000006</v>
      </c>
      <c r="L239" s="38">
        <v>1.75</v>
      </c>
      <c r="M239" s="30">
        <v>5</v>
      </c>
      <c r="N239" s="28">
        <f t="shared" si="23"/>
        <v>5.5859156000000016</v>
      </c>
      <c r="O239" s="39">
        <f t="shared" si="24"/>
        <v>40.265493600000006</v>
      </c>
    </row>
    <row r="240" spans="1:15" x14ac:dyDescent="0.3">
      <c r="A240" s="31"/>
      <c r="B240" s="20">
        <v>0.52083333333333337</v>
      </c>
      <c r="C240" s="21">
        <v>40.299999999999997</v>
      </c>
      <c r="D240" s="33">
        <v>33.700000000000003</v>
      </c>
      <c r="E240" s="7">
        <v>26</v>
      </c>
      <c r="F240" s="11">
        <f t="shared" si="19"/>
        <v>6.5999999999999943</v>
      </c>
      <c r="G240" s="23">
        <f t="shared" si="19"/>
        <v>7.7000000000000028</v>
      </c>
      <c r="H240" s="24">
        <f t="shared" si="20"/>
        <v>46.153846153846125</v>
      </c>
      <c r="I240" s="25">
        <v>3210</v>
      </c>
      <c r="J240" s="26">
        <f t="shared" si="21"/>
        <v>6.5999999999999943</v>
      </c>
      <c r="K240" s="21">
        <f t="shared" si="22"/>
        <v>32.414579999999972</v>
      </c>
      <c r="L240" s="38">
        <v>1.75</v>
      </c>
      <c r="M240" s="30">
        <v>5</v>
      </c>
      <c r="N240" s="28">
        <f t="shared" si="23"/>
        <v>5.4829159999999941</v>
      </c>
      <c r="O240" s="39">
        <f t="shared" si="24"/>
        <v>39.647495999999968</v>
      </c>
    </row>
    <row r="241" spans="1:15" x14ac:dyDescent="0.3">
      <c r="A241" s="31"/>
      <c r="B241" s="20">
        <v>0.60416666666666663</v>
      </c>
      <c r="C241" s="21">
        <v>40.299999999999997</v>
      </c>
      <c r="D241" s="33">
        <v>33.700000000000003</v>
      </c>
      <c r="E241" s="7">
        <v>26</v>
      </c>
      <c r="F241" s="11">
        <f t="shared" si="19"/>
        <v>6.5999999999999943</v>
      </c>
      <c r="G241" s="23">
        <f t="shared" si="19"/>
        <v>7.7000000000000028</v>
      </c>
      <c r="H241" s="24">
        <f t="shared" si="20"/>
        <v>46.153846153846125</v>
      </c>
      <c r="I241" s="25">
        <v>3230</v>
      </c>
      <c r="J241" s="26">
        <f t="shared" si="21"/>
        <v>6.5999999999999943</v>
      </c>
      <c r="K241" s="21">
        <f t="shared" si="22"/>
        <v>32.616539999999972</v>
      </c>
      <c r="L241" s="38">
        <v>1.75</v>
      </c>
      <c r="M241" s="30">
        <v>5</v>
      </c>
      <c r="N241" s="28">
        <f t="shared" si="23"/>
        <v>5.5233079999999948</v>
      </c>
      <c r="O241" s="39">
        <f t="shared" si="24"/>
        <v>39.889847999999965</v>
      </c>
    </row>
    <row r="242" spans="1:15" x14ac:dyDescent="0.3">
      <c r="A242" s="31"/>
      <c r="B242" s="20">
        <v>0.6875</v>
      </c>
      <c r="C242" s="21">
        <v>40.5</v>
      </c>
      <c r="D242" s="33">
        <v>33.700000000000003</v>
      </c>
      <c r="E242" s="7">
        <v>26</v>
      </c>
      <c r="F242" s="11">
        <f t="shared" si="19"/>
        <v>6.7999999999999972</v>
      </c>
      <c r="G242" s="23">
        <f t="shared" si="19"/>
        <v>7.7000000000000028</v>
      </c>
      <c r="H242" s="24">
        <f t="shared" si="20"/>
        <v>46.896551724137915</v>
      </c>
      <c r="I242" s="25">
        <v>3217</v>
      </c>
      <c r="J242" s="26">
        <f t="shared" si="21"/>
        <v>6.7999999999999972</v>
      </c>
      <c r="K242" s="21">
        <f t="shared" si="22"/>
        <v>33.469667999999984</v>
      </c>
      <c r="L242" s="38">
        <v>1.75</v>
      </c>
      <c r="M242" s="30">
        <v>5</v>
      </c>
      <c r="N242" s="28">
        <f t="shared" si="23"/>
        <v>5.6939335999999967</v>
      </c>
      <c r="O242" s="39">
        <f t="shared" si="24"/>
        <v>40.913601599999978</v>
      </c>
    </row>
    <row r="243" spans="1:15" x14ac:dyDescent="0.3">
      <c r="A243" s="31"/>
      <c r="B243" s="20">
        <v>0.77083333333333337</v>
      </c>
      <c r="C243" s="21">
        <v>40.4</v>
      </c>
      <c r="D243" s="33">
        <v>32.6</v>
      </c>
      <c r="E243" s="7">
        <v>26</v>
      </c>
      <c r="F243" s="11">
        <f t="shared" si="19"/>
        <v>7.7999999999999972</v>
      </c>
      <c r="G243" s="23">
        <f t="shared" si="19"/>
        <v>6.6000000000000014</v>
      </c>
      <c r="H243" s="24">
        <f t="shared" si="20"/>
        <v>54.16666666666665</v>
      </c>
      <c r="I243" s="25">
        <v>3140</v>
      </c>
      <c r="J243" s="26">
        <f t="shared" si="21"/>
        <v>7.7999999999999972</v>
      </c>
      <c r="K243" s="21">
        <f t="shared" si="22"/>
        <v>37.472759999999987</v>
      </c>
      <c r="L243" s="38">
        <v>1.75</v>
      </c>
      <c r="M243" s="30">
        <v>5</v>
      </c>
      <c r="N243" s="28">
        <f t="shared" si="23"/>
        <v>6.494551999999997</v>
      </c>
      <c r="O243" s="39">
        <f t="shared" si="24"/>
        <v>45.717311999999986</v>
      </c>
    </row>
    <row r="244" spans="1:15" x14ac:dyDescent="0.3">
      <c r="A244" s="31"/>
      <c r="B244" s="20">
        <v>0.85416666666666663</v>
      </c>
      <c r="C244" s="21">
        <v>40.5</v>
      </c>
      <c r="D244" s="33">
        <v>32.6</v>
      </c>
      <c r="E244" s="7">
        <v>26</v>
      </c>
      <c r="F244" s="11">
        <f t="shared" si="19"/>
        <v>7.8999999999999986</v>
      </c>
      <c r="G244" s="23">
        <f t="shared" si="19"/>
        <v>6.6000000000000014</v>
      </c>
      <c r="H244" s="24">
        <f t="shared" si="20"/>
        <v>54.482758620689644</v>
      </c>
      <c r="I244" s="25">
        <v>3296</v>
      </c>
      <c r="J244" s="26">
        <f t="shared" si="21"/>
        <v>7.8999999999999986</v>
      </c>
      <c r="K244" s="21">
        <f t="shared" si="22"/>
        <v>39.838751999999985</v>
      </c>
      <c r="L244" s="38">
        <v>1.75</v>
      </c>
      <c r="M244" s="30">
        <v>5</v>
      </c>
      <c r="N244" s="28">
        <f t="shared" si="23"/>
        <v>6.9677503999999972</v>
      </c>
      <c r="O244" s="39">
        <f t="shared" si="24"/>
        <v>48.556502399999985</v>
      </c>
    </row>
    <row r="245" spans="1:15" x14ac:dyDescent="0.3">
      <c r="A245" s="31"/>
      <c r="B245" s="20">
        <v>0.9375</v>
      </c>
      <c r="C245" s="21">
        <v>40.6</v>
      </c>
      <c r="D245" s="33">
        <v>33.700000000000003</v>
      </c>
      <c r="E245" s="7">
        <v>26</v>
      </c>
      <c r="F245" s="11">
        <f t="shared" si="19"/>
        <v>6.8999999999999986</v>
      </c>
      <c r="G245" s="23">
        <f t="shared" si="19"/>
        <v>7.7000000000000028</v>
      </c>
      <c r="H245" s="24">
        <f t="shared" si="20"/>
        <v>47.260273972602725</v>
      </c>
      <c r="I245" s="25">
        <v>3919</v>
      </c>
      <c r="J245" s="26">
        <f t="shared" si="21"/>
        <v>6.8999999999999986</v>
      </c>
      <c r="K245" s="21">
        <f t="shared" si="22"/>
        <v>41.372882999999987</v>
      </c>
      <c r="L245" s="38">
        <v>1.75</v>
      </c>
      <c r="M245" s="30">
        <v>5</v>
      </c>
      <c r="N245" s="28">
        <f t="shared" si="23"/>
        <v>7.2745765999999978</v>
      </c>
      <c r="O245" s="39">
        <f t="shared" si="24"/>
        <v>50.397459599999983</v>
      </c>
    </row>
    <row r="246" spans="1:15" x14ac:dyDescent="0.3">
      <c r="A246" s="31"/>
      <c r="B246" s="20">
        <v>2.0833333333333332E-2</v>
      </c>
      <c r="C246" s="21">
        <v>40.299999999999997</v>
      </c>
      <c r="D246" s="33">
        <v>33.4</v>
      </c>
      <c r="E246" s="7">
        <v>26</v>
      </c>
      <c r="F246" s="11">
        <f t="shared" si="19"/>
        <v>6.8999999999999986</v>
      </c>
      <c r="G246" s="23">
        <f t="shared" si="19"/>
        <v>7.3999999999999986</v>
      </c>
      <c r="H246" s="24">
        <f t="shared" si="20"/>
        <v>48.251748251748253</v>
      </c>
      <c r="I246" s="25">
        <v>3168</v>
      </c>
      <c r="J246" s="26">
        <f t="shared" si="21"/>
        <v>6.8999999999999986</v>
      </c>
      <c r="K246" s="21">
        <f t="shared" si="22"/>
        <v>33.444575999999991</v>
      </c>
      <c r="L246" s="38">
        <v>1.75</v>
      </c>
      <c r="M246" s="30">
        <v>5</v>
      </c>
      <c r="N246" s="28">
        <f t="shared" si="23"/>
        <v>5.6889151999999985</v>
      </c>
      <c r="O246" s="39">
        <f t="shared" si="24"/>
        <v>40.883491199999987</v>
      </c>
    </row>
    <row r="247" spans="1:15" x14ac:dyDescent="0.3">
      <c r="A247" s="31"/>
      <c r="B247" s="20">
        <v>0.10416666666666667</v>
      </c>
      <c r="C247" s="21">
        <v>40.4</v>
      </c>
      <c r="D247" s="33">
        <v>33.299999999999997</v>
      </c>
      <c r="E247" s="7">
        <v>26</v>
      </c>
      <c r="F247" s="11">
        <f t="shared" si="19"/>
        <v>7.1000000000000014</v>
      </c>
      <c r="G247" s="23">
        <f t="shared" si="19"/>
        <v>7.2999999999999972</v>
      </c>
      <c r="H247" s="24">
        <f t="shared" si="20"/>
        <v>49.305555555555571</v>
      </c>
      <c r="I247" s="25">
        <v>3170</v>
      </c>
      <c r="J247" s="26">
        <f t="shared" si="21"/>
        <v>7.1000000000000014</v>
      </c>
      <c r="K247" s="21">
        <f t="shared" si="22"/>
        <v>34.43571</v>
      </c>
      <c r="L247" s="38">
        <v>1.75</v>
      </c>
      <c r="M247" s="30">
        <v>5</v>
      </c>
      <c r="N247" s="28">
        <f t="shared" si="23"/>
        <v>5.8871419999999999</v>
      </c>
      <c r="O247" s="39">
        <f t="shared" si="24"/>
        <v>42.072851999999997</v>
      </c>
    </row>
    <row r="248" spans="1:15" x14ac:dyDescent="0.3">
      <c r="A248" s="31"/>
      <c r="B248" s="20">
        <v>0.1875</v>
      </c>
      <c r="C248" s="21">
        <v>39.4</v>
      </c>
      <c r="D248" s="33">
        <v>32.6</v>
      </c>
      <c r="E248" s="7">
        <v>26</v>
      </c>
      <c r="F248" s="11">
        <f t="shared" si="19"/>
        <v>6.7999999999999972</v>
      </c>
      <c r="G248" s="23">
        <f t="shared" si="19"/>
        <v>6.6000000000000014</v>
      </c>
      <c r="H248" s="24">
        <f t="shared" si="20"/>
        <v>50.746268656716396</v>
      </c>
      <c r="I248" s="25">
        <v>3146</v>
      </c>
      <c r="J248" s="26">
        <f t="shared" si="21"/>
        <v>6.7999999999999972</v>
      </c>
      <c r="K248" s="21">
        <f t="shared" si="22"/>
        <v>32.730983999999985</v>
      </c>
      <c r="L248" s="38">
        <v>1.75</v>
      </c>
      <c r="M248" s="30">
        <v>5</v>
      </c>
      <c r="N248" s="28">
        <f t="shared" si="23"/>
        <v>5.546196799999997</v>
      </c>
      <c r="O248" s="39">
        <f t="shared" si="24"/>
        <v>40.027180799999982</v>
      </c>
    </row>
    <row r="249" spans="1:15" s="3" customFormat="1" x14ac:dyDescent="0.3">
      <c r="A249" s="34"/>
      <c r="B249" s="34"/>
      <c r="C249" s="34"/>
      <c r="D249" s="34"/>
      <c r="E249" s="34"/>
      <c r="F249" s="34"/>
      <c r="G249" s="34" t="s">
        <v>8</v>
      </c>
      <c r="H249" s="34">
        <f>AVERAGE(H237:H248)</f>
        <v>49.424166424924415</v>
      </c>
      <c r="I249" s="34"/>
      <c r="J249" s="34"/>
      <c r="K249" s="34">
        <f>AVERAGE(K237:K248)</f>
        <v>34.492205249999991</v>
      </c>
      <c r="L249" s="34"/>
      <c r="M249" s="34"/>
      <c r="N249" s="34">
        <f>AVERAGE(N237:N248)</f>
        <v>5.898441049999998</v>
      </c>
      <c r="O249" s="34">
        <f>AVERAGE(O237:O248)</f>
        <v>42.140646299999993</v>
      </c>
    </row>
    <row r="250" spans="1:15" x14ac:dyDescent="0.3">
      <c r="A250" s="19">
        <v>44612</v>
      </c>
      <c r="B250" s="20">
        <v>0.27083333333333331</v>
      </c>
      <c r="C250" s="21">
        <v>39</v>
      </c>
      <c r="D250" s="33">
        <v>32.200000000000003</v>
      </c>
      <c r="E250" s="7">
        <v>26</v>
      </c>
      <c r="F250" s="11">
        <f t="shared" si="19"/>
        <v>6.7999999999999972</v>
      </c>
      <c r="G250" s="23">
        <f t="shared" si="19"/>
        <v>6.2000000000000028</v>
      </c>
      <c r="H250" s="24">
        <f t="shared" si="20"/>
        <v>52.307692307692285</v>
      </c>
      <c r="I250" s="25">
        <v>3200</v>
      </c>
      <c r="J250" s="26">
        <f t="shared" si="21"/>
        <v>6.7999999999999972</v>
      </c>
      <c r="K250" s="21">
        <f t="shared" si="22"/>
        <v>33.292799999999986</v>
      </c>
      <c r="L250" s="38">
        <v>1.75</v>
      </c>
      <c r="M250" s="30">
        <v>5</v>
      </c>
      <c r="N250" s="28">
        <f t="shared" si="23"/>
        <v>5.6585599999999969</v>
      </c>
      <c r="O250" s="39">
        <f t="shared" si="24"/>
        <v>40.70135999999998</v>
      </c>
    </row>
    <row r="251" spans="1:15" x14ac:dyDescent="0.3">
      <c r="A251" s="19"/>
      <c r="B251" s="20">
        <v>0.35416666666666669</v>
      </c>
      <c r="C251" s="21">
        <v>39</v>
      </c>
      <c r="D251" s="33">
        <v>32.299999999999997</v>
      </c>
      <c r="E251" s="7">
        <v>26</v>
      </c>
      <c r="F251" s="11">
        <f t="shared" si="19"/>
        <v>6.7000000000000028</v>
      </c>
      <c r="G251" s="23">
        <f t="shared" si="19"/>
        <v>6.2999999999999972</v>
      </c>
      <c r="H251" s="24">
        <f t="shared" si="20"/>
        <v>51.538461538461554</v>
      </c>
      <c r="I251" s="25">
        <v>3250</v>
      </c>
      <c r="J251" s="26">
        <f t="shared" si="21"/>
        <v>6.7000000000000028</v>
      </c>
      <c r="K251" s="21">
        <f t="shared" si="22"/>
        <v>33.315750000000008</v>
      </c>
      <c r="L251" s="38">
        <v>1.75</v>
      </c>
      <c r="M251" s="30">
        <v>5</v>
      </c>
      <c r="N251" s="28">
        <f t="shared" si="23"/>
        <v>5.6631500000000017</v>
      </c>
      <c r="O251" s="39">
        <f t="shared" si="24"/>
        <v>40.72890000000001</v>
      </c>
    </row>
    <row r="252" spans="1:15" x14ac:dyDescent="0.3">
      <c r="A252" s="19"/>
      <c r="B252" s="20">
        <v>0.4375</v>
      </c>
      <c r="C252" s="21">
        <v>39.200000000000003</v>
      </c>
      <c r="D252" s="33">
        <v>33</v>
      </c>
      <c r="E252" s="7">
        <v>26</v>
      </c>
      <c r="F252" s="11">
        <f t="shared" si="19"/>
        <v>6.2000000000000028</v>
      </c>
      <c r="G252" s="23">
        <f t="shared" si="19"/>
        <v>7</v>
      </c>
      <c r="H252" s="24">
        <f t="shared" si="20"/>
        <v>46.969696969696983</v>
      </c>
      <c r="I252" s="25">
        <v>3168</v>
      </c>
      <c r="J252" s="26">
        <f t="shared" si="21"/>
        <v>6.2000000000000028</v>
      </c>
      <c r="K252" s="21">
        <f t="shared" si="22"/>
        <v>30.051648000000011</v>
      </c>
      <c r="L252" s="38">
        <v>1.75</v>
      </c>
      <c r="M252" s="30">
        <v>5</v>
      </c>
      <c r="N252" s="28">
        <f t="shared" si="23"/>
        <v>5.0103296000000022</v>
      </c>
      <c r="O252" s="39">
        <f t="shared" si="24"/>
        <v>36.811977600000013</v>
      </c>
    </row>
    <row r="253" spans="1:15" x14ac:dyDescent="0.3">
      <c r="A253" s="19"/>
      <c r="B253" s="20">
        <v>0.52083333333333337</v>
      </c>
      <c r="C253" s="21">
        <v>39.9</v>
      </c>
      <c r="D253" s="33">
        <v>33.5</v>
      </c>
      <c r="E253" s="7">
        <v>26</v>
      </c>
      <c r="F253" s="11">
        <f t="shared" si="19"/>
        <v>6.3999999999999986</v>
      </c>
      <c r="G253" s="23">
        <f t="shared" si="19"/>
        <v>7.5</v>
      </c>
      <c r="H253" s="24">
        <f t="shared" si="20"/>
        <v>46.043165467625897</v>
      </c>
      <c r="I253" s="25">
        <v>3202</v>
      </c>
      <c r="J253" s="26">
        <f t="shared" si="21"/>
        <v>6.3999999999999986</v>
      </c>
      <c r="K253" s="21">
        <f t="shared" si="22"/>
        <v>31.35398399999999</v>
      </c>
      <c r="L253" s="38">
        <v>1.75</v>
      </c>
      <c r="M253" s="30">
        <v>5</v>
      </c>
      <c r="N253" s="28">
        <f t="shared" si="23"/>
        <v>5.2707967999999976</v>
      </c>
      <c r="O253" s="39">
        <f t="shared" si="24"/>
        <v>38.374780799999989</v>
      </c>
    </row>
    <row r="254" spans="1:15" x14ac:dyDescent="0.3">
      <c r="A254" s="19"/>
      <c r="B254" s="20">
        <v>0.60416666666666663</v>
      </c>
      <c r="C254" s="21">
        <v>39.6</v>
      </c>
      <c r="D254" s="33">
        <v>33.299999999999997</v>
      </c>
      <c r="E254" s="7">
        <v>26</v>
      </c>
      <c r="F254" s="11">
        <f t="shared" si="19"/>
        <v>6.3000000000000043</v>
      </c>
      <c r="G254" s="23">
        <f t="shared" si="19"/>
        <v>7.2999999999999972</v>
      </c>
      <c r="H254" s="24">
        <f t="shared" si="20"/>
        <v>46.323529411764731</v>
      </c>
      <c r="I254" s="25">
        <v>3217</v>
      </c>
      <c r="J254" s="26">
        <f t="shared" si="21"/>
        <v>6.3000000000000043</v>
      </c>
      <c r="K254" s="21">
        <f t="shared" si="22"/>
        <v>31.008663000000016</v>
      </c>
      <c r="L254" s="38">
        <v>1.75</v>
      </c>
      <c r="M254" s="30">
        <v>5</v>
      </c>
      <c r="N254" s="28">
        <f t="shared" si="23"/>
        <v>5.2017326000000033</v>
      </c>
      <c r="O254" s="39">
        <f t="shared" si="24"/>
        <v>37.960395600000012</v>
      </c>
    </row>
    <row r="255" spans="1:15" x14ac:dyDescent="0.3">
      <c r="A255" s="19"/>
      <c r="B255" s="20">
        <v>0.6875</v>
      </c>
      <c r="C255" s="21">
        <v>39.6</v>
      </c>
      <c r="D255" s="33">
        <v>33.200000000000003</v>
      </c>
      <c r="E255" s="7">
        <v>26</v>
      </c>
      <c r="F255" s="11">
        <f t="shared" si="19"/>
        <v>6.3999999999999986</v>
      </c>
      <c r="G255" s="23">
        <f t="shared" si="19"/>
        <v>7.2000000000000028</v>
      </c>
      <c r="H255" s="24">
        <f t="shared" si="20"/>
        <v>47.058823529411747</v>
      </c>
      <c r="I255" s="25">
        <v>3188</v>
      </c>
      <c r="J255" s="26">
        <f t="shared" si="21"/>
        <v>6.3999999999999986</v>
      </c>
      <c r="K255" s="21">
        <f t="shared" si="22"/>
        <v>31.216895999999991</v>
      </c>
      <c r="L255" s="38">
        <v>1.75</v>
      </c>
      <c r="M255" s="30">
        <v>5</v>
      </c>
      <c r="N255" s="28">
        <f t="shared" si="23"/>
        <v>5.2433791999999979</v>
      </c>
      <c r="O255" s="39">
        <f t="shared" si="24"/>
        <v>38.210275199999991</v>
      </c>
    </row>
    <row r="256" spans="1:15" x14ac:dyDescent="0.3">
      <c r="A256" s="19"/>
      <c r="B256" s="20">
        <v>0.77083333333333337</v>
      </c>
      <c r="C256" s="21"/>
      <c r="D256" s="33"/>
      <c r="E256" s="7">
        <v>26</v>
      </c>
      <c r="F256" s="11">
        <f t="shared" si="19"/>
        <v>0</v>
      </c>
      <c r="G256" s="23">
        <f t="shared" si="19"/>
        <v>-26</v>
      </c>
      <c r="H256" s="24">
        <f t="shared" si="20"/>
        <v>0</v>
      </c>
      <c r="I256" s="25"/>
      <c r="J256" s="26">
        <f t="shared" si="21"/>
        <v>0</v>
      </c>
      <c r="K256" s="21">
        <f t="shared" si="22"/>
        <v>0</v>
      </c>
      <c r="L256" s="38">
        <v>1.75</v>
      </c>
      <c r="M256" s="30">
        <v>5</v>
      </c>
      <c r="N256" s="28">
        <f t="shared" si="23"/>
        <v>-1</v>
      </c>
      <c r="O256" s="39">
        <f t="shared" si="24"/>
        <v>0.75</v>
      </c>
    </row>
    <row r="257" spans="1:15" x14ac:dyDescent="0.3">
      <c r="A257" s="19"/>
      <c r="B257" s="20">
        <v>0.85416666666666663</v>
      </c>
      <c r="C257" s="21">
        <v>39.299999999999997</v>
      </c>
      <c r="D257" s="33">
        <v>33.9</v>
      </c>
      <c r="E257" s="7">
        <v>26</v>
      </c>
      <c r="F257" s="11">
        <f t="shared" si="19"/>
        <v>5.3999999999999986</v>
      </c>
      <c r="G257" s="23">
        <f t="shared" si="19"/>
        <v>7.8999999999999986</v>
      </c>
      <c r="H257" s="24">
        <f t="shared" si="20"/>
        <v>40.601503759398497</v>
      </c>
      <c r="I257" s="25">
        <v>3282</v>
      </c>
      <c r="J257" s="26">
        <f t="shared" si="21"/>
        <v>5.3999999999999986</v>
      </c>
      <c r="K257" s="21">
        <f t="shared" si="22"/>
        <v>27.115883999999991</v>
      </c>
      <c r="L257" s="38">
        <v>1.75</v>
      </c>
      <c r="M257" s="30">
        <v>5</v>
      </c>
      <c r="N257" s="28">
        <f t="shared" si="23"/>
        <v>4.4231767999999985</v>
      </c>
      <c r="O257" s="39">
        <f t="shared" si="24"/>
        <v>33.289060799999987</v>
      </c>
    </row>
    <row r="258" spans="1:15" x14ac:dyDescent="0.3">
      <c r="A258" s="19"/>
      <c r="B258" s="20">
        <v>0.9375</v>
      </c>
      <c r="C258" s="21">
        <v>39</v>
      </c>
      <c r="D258" s="33">
        <v>32.799999999999997</v>
      </c>
      <c r="E258" s="7">
        <v>26</v>
      </c>
      <c r="F258" s="11">
        <f t="shared" si="19"/>
        <v>6.2000000000000028</v>
      </c>
      <c r="G258" s="23">
        <f t="shared" si="19"/>
        <v>6.7999999999999972</v>
      </c>
      <c r="H258" s="24">
        <f t="shared" si="20"/>
        <v>47.692307692307715</v>
      </c>
      <c r="I258" s="25">
        <v>3206</v>
      </c>
      <c r="J258" s="26">
        <f t="shared" si="21"/>
        <v>6.2000000000000028</v>
      </c>
      <c r="K258" s="21">
        <f t="shared" si="22"/>
        <v>30.412116000000012</v>
      </c>
      <c r="L258" s="38">
        <v>1.75</v>
      </c>
      <c r="M258" s="30">
        <v>5</v>
      </c>
      <c r="N258" s="28">
        <f t="shared" si="23"/>
        <v>5.0824232000000027</v>
      </c>
      <c r="O258" s="39">
        <f t="shared" si="24"/>
        <v>37.244539200000013</v>
      </c>
    </row>
    <row r="259" spans="1:15" x14ac:dyDescent="0.3">
      <c r="A259" s="19"/>
      <c r="B259" s="20">
        <v>2.0833333333333332E-2</v>
      </c>
      <c r="C259" s="21">
        <v>38.9</v>
      </c>
      <c r="D259" s="33">
        <v>32.6</v>
      </c>
      <c r="E259" s="7">
        <v>26</v>
      </c>
      <c r="F259" s="11">
        <f t="shared" si="19"/>
        <v>6.2999999999999972</v>
      </c>
      <c r="G259" s="23">
        <f t="shared" si="19"/>
        <v>6.6000000000000014</v>
      </c>
      <c r="H259" s="24">
        <f t="shared" si="20"/>
        <v>48.837209302325562</v>
      </c>
      <c r="I259" s="25">
        <v>3232</v>
      </c>
      <c r="J259" s="26">
        <f t="shared" si="21"/>
        <v>6.2999999999999972</v>
      </c>
      <c r="K259" s="21">
        <f t="shared" si="22"/>
        <v>31.153247999999987</v>
      </c>
      <c r="L259" s="38">
        <v>1.75</v>
      </c>
      <c r="M259" s="30">
        <v>5</v>
      </c>
      <c r="N259" s="28">
        <f t="shared" si="23"/>
        <v>5.2306495999999978</v>
      </c>
      <c r="O259" s="39">
        <f t="shared" si="24"/>
        <v>38.13389759999999</v>
      </c>
    </row>
    <row r="260" spans="1:15" x14ac:dyDescent="0.3">
      <c r="A260" s="19"/>
      <c r="B260" s="20">
        <v>0.10416666666666667</v>
      </c>
      <c r="C260" s="21">
        <v>39.200000000000003</v>
      </c>
      <c r="D260" s="33">
        <v>32.799999999999997</v>
      </c>
      <c r="E260" s="7">
        <v>26</v>
      </c>
      <c r="F260" s="11">
        <f t="shared" ref="F260:G323" si="25">C260-D260</f>
        <v>6.4000000000000057</v>
      </c>
      <c r="G260" s="23">
        <f t="shared" si="25"/>
        <v>6.7999999999999972</v>
      </c>
      <c r="H260" s="24">
        <f t="shared" ref="H260:H323" si="26">(F260/(F260+G260))*100</f>
        <v>48.48484848484852</v>
      </c>
      <c r="I260" s="25">
        <v>3152</v>
      </c>
      <c r="J260" s="26">
        <f t="shared" ref="J260:J323" si="27">C260-D260</f>
        <v>6.4000000000000057</v>
      </c>
      <c r="K260" s="21">
        <f t="shared" ref="K260:K323" si="28">0.00085*1.8*I260*J260</f>
        <v>30.864384000000022</v>
      </c>
      <c r="L260" s="38">
        <v>1.75</v>
      </c>
      <c r="M260" s="30">
        <v>5</v>
      </c>
      <c r="N260" s="28">
        <f t="shared" ref="N260:N323" si="29">K260/M260-1</f>
        <v>5.1728768000000045</v>
      </c>
      <c r="O260" s="39">
        <f t="shared" ref="O260:O323" si="30">K260+L260+N260</f>
        <v>37.787260800000027</v>
      </c>
    </row>
    <row r="261" spans="1:15" x14ac:dyDescent="0.3">
      <c r="A261" s="19"/>
      <c r="B261" s="20">
        <v>0.1875</v>
      </c>
      <c r="C261" s="21">
        <v>38.799999999999997</v>
      </c>
      <c r="D261" s="33">
        <v>32.200000000000003</v>
      </c>
      <c r="E261" s="7">
        <v>26</v>
      </c>
      <c r="F261" s="11">
        <f t="shared" si="25"/>
        <v>6.5999999999999943</v>
      </c>
      <c r="G261" s="23">
        <f t="shared" si="25"/>
        <v>6.2000000000000028</v>
      </c>
      <c r="H261" s="24">
        <f t="shared" si="26"/>
        <v>51.562499999999964</v>
      </c>
      <c r="I261" s="25">
        <v>3245</v>
      </c>
      <c r="J261" s="26">
        <f t="shared" si="27"/>
        <v>6.5999999999999943</v>
      </c>
      <c r="K261" s="21">
        <f t="shared" si="28"/>
        <v>32.768009999999968</v>
      </c>
      <c r="L261" s="38">
        <v>1.75</v>
      </c>
      <c r="M261" s="30">
        <v>5</v>
      </c>
      <c r="N261" s="28">
        <f t="shared" si="29"/>
        <v>5.5536019999999935</v>
      </c>
      <c r="O261" s="39">
        <f t="shared" si="30"/>
        <v>40.071611999999959</v>
      </c>
    </row>
    <row r="262" spans="1:15" s="3" customFormat="1" x14ac:dyDescent="0.3">
      <c r="A262" s="34"/>
      <c r="B262" s="34"/>
      <c r="C262" s="34"/>
      <c r="D262" s="34"/>
      <c r="E262" s="34"/>
      <c r="F262" s="34"/>
      <c r="G262" s="34" t="s">
        <v>8</v>
      </c>
      <c r="H262" s="34">
        <f>AVERAGE(H250:H261)</f>
        <v>43.951644871961122</v>
      </c>
      <c r="I262" s="34"/>
      <c r="J262" s="34"/>
      <c r="K262" s="34">
        <f>AVERAGE(K250:K261)</f>
        <v>28.546115249999996</v>
      </c>
      <c r="L262" s="34"/>
      <c r="M262" s="34"/>
      <c r="N262" s="34">
        <f>AVERAGE(N250:N261)</f>
        <v>4.7092230499999994</v>
      </c>
      <c r="O262" s="34">
        <f>AVERAGE(O250:O261)</f>
        <v>35.005338299999998</v>
      </c>
    </row>
    <row r="263" spans="1:15" x14ac:dyDescent="0.3">
      <c r="A263" s="19">
        <v>44582</v>
      </c>
      <c r="B263" s="20">
        <v>0.27083333333333331</v>
      </c>
      <c r="C263" s="21">
        <v>38.200000000000003</v>
      </c>
      <c r="D263" s="33">
        <v>32</v>
      </c>
      <c r="E263" s="7">
        <v>26</v>
      </c>
      <c r="F263" s="11">
        <f t="shared" si="25"/>
        <v>6.2000000000000028</v>
      </c>
      <c r="G263" s="23">
        <f t="shared" si="25"/>
        <v>6</v>
      </c>
      <c r="H263" s="24">
        <f t="shared" si="26"/>
        <v>50.819672131147556</v>
      </c>
      <c r="I263" s="25">
        <v>3234</v>
      </c>
      <c r="J263" s="26">
        <f t="shared" si="27"/>
        <v>6.2000000000000028</v>
      </c>
      <c r="K263" s="21">
        <f t="shared" si="28"/>
        <v>30.677724000000012</v>
      </c>
      <c r="L263" s="38">
        <v>1.75</v>
      </c>
      <c r="M263" s="30">
        <v>5</v>
      </c>
      <c r="N263" s="28">
        <f t="shared" si="29"/>
        <v>5.1355448000000026</v>
      </c>
      <c r="O263" s="39">
        <f t="shared" si="30"/>
        <v>37.563268800000017</v>
      </c>
    </row>
    <row r="264" spans="1:15" x14ac:dyDescent="0.3">
      <c r="A264" s="31"/>
      <c r="B264" s="20">
        <v>0.35416666666666669</v>
      </c>
      <c r="C264" s="21">
        <v>38.299999999999997</v>
      </c>
      <c r="D264" s="33">
        <v>32</v>
      </c>
      <c r="E264" s="7">
        <v>26</v>
      </c>
      <c r="F264" s="11">
        <f t="shared" si="25"/>
        <v>6.2999999999999972</v>
      </c>
      <c r="G264" s="23">
        <f t="shared" si="25"/>
        <v>6</v>
      </c>
      <c r="H264" s="24">
        <f t="shared" si="26"/>
        <v>51.219512195121943</v>
      </c>
      <c r="I264" s="25">
        <v>3311</v>
      </c>
      <c r="J264" s="26">
        <f t="shared" si="27"/>
        <v>6.2999999999999972</v>
      </c>
      <c r="K264" s="21">
        <f t="shared" si="28"/>
        <v>31.914728999999987</v>
      </c>
      <c r="L264" s="38">
        <v>1.75</v>
      </c>
      <c r="M264" s="30">
        <v>5</v>
      </c>
      <c r="N264" s="28">
        <f t="shared" si="29"/>
        <v>5.3829457999999972</v>
      </c>
      <c r="O264" s="39">
        <f t="shared" si="30"/>
        <v>39.047674799999982</v>
      </c>
    </row>
    <row r="265" spans="1:15" x14ac:dyDescent="0.3">
      <c r="A265" s="31"/>
      <c r="B265" s="20">
        <v>0.4375</v>
      </c>
      <c r="C265" s="21">
        <v>39.5</v>
      </c>
      <c r="D265" s="33">
        <v>33.1</v>
      </c>
      <c r="E265" s="7">
        <v>26</v>
      </c>
      <c r="F265" s="11">
        <f t="shared" si="25"/>
        <v>6.3999999999999986</v>
      </c>
      <c r="G265" s="23">
        <f t="shared" si="25"/>
        <v>7.1000000000000014</v>
      </c>
      <c r="H265" s="24">
        <f t="shared" si="26"/>
        <v>47.407407407407398</v>
      </c>
      <c r="I265" s="25">
        <v>3193</v>
      </c>
      <c r="J265" s="26">
        <f t="shared" si="27"/>
        <v>6.3999999999999986</v>
      </c>
      <c r="K265" s="21">
        <f t="shared" si="28"/>
        <v>31.265855999999989</v>
      </c>
      <c r="L265" s="38">
        <v>1.75</v>
      </c>
      <c r="M265" s="30">
        <v>5</v>
      </c>
      <c r="N265" s="28">
        <f t="shared" si="29"/>
        <v>5.2531711999999979</v>
      </c>
      <c r="O265" s="39">
        <f t="shared" si="30"/>
        <v>38.269027199999982</v>
      </c>
    </row>
    <row r="266" spans="1:15" x14ac:dyDescent="0.3">
      <c r="A266" s="31"/>
      <c r="B266" s="20">
        <v>0.52083333333333337</v>
      </c>
      <c r="C266" s="21">
        <v>40.9</v>
      </c>
      <c r="D266" s="33">
        <v>34.6</v>
      </c>
      <c r="E266" s="7">
        <v>26</v>
      </c>
      <c r="F266" s="11">
        <f t="shared" si="25"/>
        <v>6.2999999999999972</v>
      </c>
      <c r="G266" s="23">
        <f t="shared" si="25"/>
        <v>8.6000000000000014</v>
      </c>
      <c r="H266" s="24">
        <f t="shared" si="26"/>
        <v>42.281879194630854</v>
      </c>
      <c r="I266" s="25">
        <v>3292</v>
      </c>
      <c r="J266" s="26">
        <f t="shared" si="27"/>
        <v>6.2999999999999972</v>
      </c>
      <c r="K266" s="21">
        <f t="shared" si="28"/>
        <v>31.731587999999981</v>
      </c>
      <c r="L266" s="38">
        <v>1.75</v>
      </c>
      <c r="M266" s="30">
        <v>5</v>
      </c>
      <c r="N266" s="28">
        <f t="shared" si="29"/>
        <v>5.3463175999999963</v>
      </c>
      <c r="O266" s="39">
        <f t="shared" si="30"/>
        <v>38.82790559999998</v>
      </c>
    </row>
    <row r="267" spans="1:15" x14ac:dyDescent="0.3">
      <c r="A267" s="31"/>
      <c r="B267" s="20">
        <v>0.60416666666666663</v>
      </c>
      <c r="C267" s="21">
        <v>41.1</v>
      </c>
      <c r="D267" s="33">
        <v>34.799999999999997</v>
      </c>
      <c r="E267" s="7">
        <v>26</v>
      </c>
      <c r="F267" s="11">
        <f t="shared" si="25"/>
        <v>6.3000000000000043</v>
      </c>
      <c r="G267" s="23">
        <f t="shared" si="25"/>
        <v>8.7999999999999972</v>
      </c>
      <c r="H267" s="24">
        <f t="shared" si="26"/>
        <v>41.721854304635784</v>
      </c>
      <c r="I267" s="25">
        <v>3331</v>
      </c>
      <c r="J267" s="26">
        <f t="shared" si="27"/>
        <v>6.3000000000000043</v>
      </c>
      <c r="K267" s="21">
        <f t="shared" si="28"/>
        <v>32.107509000000022</v>
      </c>
      <c r="L267" s="38">
        <v>1.75</v>
      </c>
      <c r="M267" s="30">
        <v>5</v>
      </c>
      <c r="N267" s="28">
        <f t="shared" si="29"/>
        <v>5.4215018000000041</v>
      </c>
      <c r="O267" s="39">
        <f t="shared" si="30"/>
        <v>39.279010800000023</v>
      </c>
    </row>
    <row r="268" spans="1:15" x14ac:dyDescent="0.3">
      <c r="A268" s="31"/>
      <c r="B268" s="20">
        <v>0.6875</v>
      </c>
      <c r="C268" s="21">
        <v>40.9</v>
      </c>
      <c r="D268" s="33">
        <v>34.5</v>
      </c>
      <c r="E268" s="7">
        <v>26</v>
      </c>
      <c r="F268" s="11">
        <f t="shared" si="25"/>
        <v>6.3999999999999986</v>
      </c>
      <c r="G268" s="23">
        <f t="shared" si="25"/>
        <v>8.5</v>
      </c>
      <c r="H268" s="24">
        <f t="shared" si="26"/>
        <v>42.953020134228183</v>
      </c>
      <c r="I268" s="25">
        <v>3171</v>
      </c>
      <c r="J268" s="26">
        <f t="shared" si="27"/>
        <v>6.3999999999999986</v>
      </c>
      <c r="K268" s="21">
        <f t="shared" si="28"/>
        <v>31.050431999999986</v>
      </c>
      <c r="L268" s="38">
        <v>1.75</v>
      </c>
      <c r="M268" s="30">
        <v>5</v>
      </c>
      <c r="N268" s="28">
        <f t="shared" si="29"/>
        <v>5.2100863999999971</v>
      </c>
      <c r="O268" s="39">
        <f t="shared" si="30"/>
        <v>38.010518399999981</v>
      </c>
    </row>
    <row r="269" spans="1:15" x14ac:dyDescent="0.3">
      <c r="A269" s="31"/>
      <c r="B269" s="20">
        <v>0.77083333333333337</v>
      </c>
      <c r="C269" s="21">
        <v>41.2</v>
      </c>
      <c r="D269" s="33">
        <v>34.799999999999997</v>
      </c>
      <c r="E269" s="7">
        <v>26</v>
      </c>
      <c r="F269" s="11">
        <f t="shared" si="25"/>
        <v>6.4000000000000057</v>
      </c>
      <c r="G269" s="23">
        <f t="shared" si="25"/>
        <v>8.7999999999999972</v>
      </c>
      <c r="H269" s="24">
        <f t="shared" si="26"/>
        <v>42.105263157894768</v>
      </c>
      <c r="I269" s="25">
        <v>3348</v>
      </c>
      <c r="J269" s="26">
        <f t="shared" si="27"/>
        <v>6.4000000000000057</v>
      </c>
      <c r="K269" s="21">
        <f t="shared" si="28"/>
        <v>32.783616000000023</v>
      </c>
      <c r="L269" s="38">
        <v>1.75</v>
      </c>
      <c r="M269" s="30">
        <v>5</v>
      </c>
      <c r="N269" s="28">
        <f t="shared" si="29"/>
        <v>5.5567232000000049</v>
      </c>
      <c r="O269" s="39">
        <f t="shared" si="30"/>
        <v>40.090339200000031</v>
      </c>
    </row>
    <row r="270" spans="1:15" x14ac:dyDescent="0.3">
      <c r="A270" s="31"/>
      <c r="B270" s="20">
        <v>0.85416666666666663</v>
      </c>
      <c r="C270" s="21">
        <v>40.200000000000003</v>
      </c>
      <c r="D270" s="33">
        <v>33.799999999999997</v>
      </c>
      <c r="E270" s="7">
        <v>26</v>
      </c>
      <c r="F270" s="11">
        <f t="shared" si="25"/>
        <v>6.4000000000000057</v>
      </c>
      <c r="G270" s="23">
        <f t="shared" si="25"/>
        <v>7.7999999999999972</v>
      </c>
      <c r="H270" s="24">
        <f t="shared" si="26"/>
        <v>45.070422535211293</v>
      </c>
      <c r="I270" s="25">
        <v>3154</v>
      </c>
      <c r="J270" s="26">
        <f t="shared" si="27"/>
        <v>6.4000000000000057</v>
      </c>
      <c r="K270" s="21">
        <f t="shared" si="28"/>
        <v>30.883968000000028</v>
      </c>
      <c r="L270" s="38">
        <v>1.75</v>
      </c>
      <c r="M270" s="30">
        <v>5</v>
      </c>
      <c r="N270" s="28">
        <f t="shared" si="29"/>
        <v>5.1767936000000052</v>
      </c>
      <c r="O270" s="39">
        <f t="shared" si="30"/>
        <v>37.810761600000028</v>
      </c>
    </row>
    <row r="271" spans="1:15" x14ac:dyDescent="0.3">
      <c r="A271" s="31"/>
      <c r="B271" s="20">
        <v>0.9375</v>
      </c>
      <c r="C271" s="21">
        <v>39.700000000000003</v>
      </c>
      <c r="D271" s="33">
        <v>33.4</v>
      </c>
      <c r="E271" s="7">
        <v>26</v>
      </c>
      <c r="F271" s="11">
        <f t="shared" si="25"/>
        <v>6.3000000000000043</v>
      </c>
      <c r="G271" s="23">
        <f t="shared" si="25"/>
        <v>7.3999999999999986</v>
      </c>
      <c r="H271" s="24">
        <f t="shared" si="26"/>
        <v>45.985401459854039</v>
      </c>
      <c r="I271" s="25">
        <v>3214</v>
      </c>
      <c r="J271" s="26">
        <f t="shared" si="27"/>
        <v>6.3000000000000043</v>
      </c>
      <c r="K271" s="21">
        <f t="shared" si="28"/>
        <v>30.97974600000002</v>
      </c>
      <c r="L271" s="38">
        <v>1.75</v>
      </c>
      <c r="M271" s="30">
        <v>5</v>
      </c>
      <c r="N271" s="28">
        <f t="shared" si="29"/>
        <v>5.1959492000000038</v>
      </c>
      <c r="O271" s="39">
        <f t="shared" si="30"/>
        <v>37.925695200000021</v>
      </c>
    </row>
    <row r="272" spans="1:15" x14ac:dyDescent="0.3">
      <c r="A272" s="31"/>
      <c r="B272" s="20">
        <v>2.0833333333333332E-2</v>
      </c>
      <c r="C272" s="21">
        <v>39.799999999999997</v>
      </c>
      <c r="D272" s="33">
        <v>33</v>
      </c>
      <c r="E272" s="7">
        <v>26</v>
      </c>
      <c r="F272" s="11">
        <f t="shared" si="25"/>
        <v>6.7999999999999972</v>
      </c>
      <c r="G272" s="23">
        <f t="shared" si="25"/>
        <v>7</v>
      </c>
      <c r="H272" s="24">
        <f t="shared" si="26"/>
        <v>49.275362318840571</v>
      </c>
      <c r="I272" s="25">
        <v>3231</v>
      </c>
      <c r="J272" s="26">
        <f t="shared" si="27"/>
        <v>6.7999999999999972</v>
      </c>
      <c r="K272" s="21">
        <f t="shared" si="28"/>
        <v>33.61532399999998</v>
      </c>
      <c r="L272" s="38">
        <v>1.75</v>
      </c>
      <c r="M272" s="30">
        <v>5</v>
      </c>
      <c r="N272" s="28">
        <f t="shared" si="29"/>
        <v>5.723064799999996</v>
      </c>
      <c r="O272" s="39">
        <f t="shared" si="30"/>
        <v>41.088388799999976</v>
      </c>
    </row>
    <row r="273" spans="1:15" x14ac:dyDescent="0.3">
      <c r="A273" s="31"/>
      <c r="B273" s="20">
        <v>0.10416666666666667</v>
      </c>
      <c r="C273" s="21">
        <v>39.1</v>
      </c>
      <c r="D273" s="33">
        <v>33</v>
      </c>
      <c r="E273" s="7">
        <v>26</v>
      </c>
      <c r="F273" s="11">
        <f t="shared" si="25"/>
        <v>6.1000000000000014</v>
      </c>
      <c r="G273" s="23">
        <f t="shared" si="25"/>
        <v>7</v>
      </c>
      <c r="H273" s="24">
        <f t="shared" si="26"/>
        <v>46.564885496183209</v>
      </c>
      <c r="I273" s="25">
        <v>3161</v>
      </c>
      <c r="J273" s="26">
        <f t="shared" si="27"/>
        <v>6.1000000000000014</v>
      </c>
      <c r="K273" s="21">
        <f t="shared" si="28"/>
        <v>29.501613000000003</v>
      </c>
      <c r="L273" s="38">
        <v>1.75</v>
      </c>
      <c r="M273" s="30">
        <v>5</v>
      </c>
      <c r="N273" s="28">
        <f t="shared" si="29"/>
        <v>4.9003226000000009</v>
      </c>
      <c r="O273" s="39">
        <f t="shared" si="30"/>
        <v>36.151935600000002</v>
      </c>
    </row>
    <row r="274" spans="1:15" x14ac:dyDescent="0.3">
      <c r="A274" s="31"/>
      <c r="B274" s="20">
        <v>0.1875</v>
      </c>
      <c r="C274" s="21">
        <v>38.6</v>
      </c>
      <c r="D274" s="33">
        <v>32.5</v>
      </c>
      <c r="E274" s="7">
        <v>26</v>
      </c>
      <c r="F274" s="11">
        <f t="shared" si="25"/>
        <v>6.1000000000000014</v>
      </c>
      <c r="G274" s="23">
        <f t="shared" si="25"/>
        <v>6.5</v>
      </c>
      <c r="H274" s="24">
        <f t="shared" si="26"/>
        <v>48.412698412698418</v>
      </c>
      <c r="I274" s="25">
        <v>3204</v>
      </c>
      <c r="J274" s="26">
        <f t="shared" si="27"/>
        <v>6.1000000000000014</v>
      </c>
      <c r="K274" s="21">
        <f t="shared" si="28"/>
        <v>29.902932000000007</v>
      </c>
      <c r="L274" s="38">
        <v>1.75</v>
      </c>
      <c r="M274" s="30">
        <v>5</v>
      </c>
      <c r="N274" s="28">
        <f t="shared" si="29"/>
        <v>4.9805864000000017</v>
      </c>
      <c r="O274" s="39">
        <f t="shared" si="30"/>
        <v>36.633518400000007</v>
      </c>
    </row>
    <row r="275" spans="1:15" s="3" customFormat="1" x14ac:dyDescent="0.3">
      <c r="A275" s="34"/>
      <c r="B275" s="34"/>
      <c r="C275" s="34"/>
      <c r="D275" s="34"/>
      <c r="E275" s="34"/>
      <c r="F275" s="34"/>
      <c r="G275" s="34" t="s">
        <v>8</v>
      </c>
      <c r="H275" s="34">
        <f>AVERAGE(H263:H274)</f>
        <v>46.151448228987825</v>
      </c>
      <c r="I275" s="34"/>
      <c r="J275" s="34"/>
      <c r="K275" s="34">
        <f>AVERAGE(K263:K274)</f>
        <v>31.367919750000009</v>
      </c>
      <c r="L275" s="34"/>
      <c r="M275" s="34"/>
      <c r="N275" s="34">
        <f>AVERAGE(N263:N274)</f>
        <v>5.2735839499999999</v>
      </c>
      <c r="O275" s="34">
        <f>AVERAGE(O263:O274)</f>
        <v>38.391503700000001</v>
      </c>
    </row>
    <row r="276" spans="1:15" x14ac:dyDescent="0.3">
      <c r="A276" s="19">
        <v>44583</v>
      </c>
      <c r="B276" s="20">
        <v>0.27083333333333331</v>
      </c>
      <c r="C276" s="21">
        <v>38.4</v>
      </c>
      <c r="D276" s="33">
        <v>32.200000000000003</v>
      </c>
      <c r="E276" s="7">
        <v>26</v>
      </c>
      <c r="F276" s="11">
        <f t="shared" si="25"/>
        <v>6.1999999999999957</v>
      </c>
      <c r="G276" s="23">
        <f t="shared" si="25"/>
        <v>6.2000000000000028</v>
      </c>
      <c r="H276" s="24">
        <f t="shared" si="26"/>
        <v>49.999999999999972</v>
      </c>
      <c r="I276" s="25">
        <v>3129</v>
      </c>
      <c r="J276" s="26">
        <f t="shared" si="27"/>
        <v>6.1999999999999957</v>
      </c>
      <c r="K276" s="21">
        <f t="shared" si="28"/>
        <v>29.681693999999975</v>
      </c>
      <c r="L276" s="38">
        <v>1.75</v>
      </c>
      <c r="M276" s="30">
        <v>5</v>
      </c>
      <c r="N276" s="28">
        <f t="shared" si="29"/>
        <v>4.9363387999999953</v>
      </c>
      <c r="O276" s="39">
        <f t="shared" si="30"/>
        <v>36.368032799999973</v>
      </c>
    </row>
    <row r="277" spans="1:15" x14ac:dyDescent="0.3">
      <c r="A277" s="19"/>
      <c r="B277" s="20">
        <v>0.35416666666666669</v>
      </c>
      <c r="C277" s="21">
        <v>38</v>
      </c>
      <c r="D277" s="33">
        <v>32</v>
      </c>
      <c r="E277" s="7">
        <v>26</v>
      </c>
      <c r="F277" s="11">
        <f t="shared" si="25"/>
        <v>6</v>
      </c>
      <c r="G277" s="23">
        <f t="shared" si="25"/>
        <v>6</v>
      </c>
      <c r="H277" s="24">
        <f t="shared" si="26"/>
        <v>50</v>
      </c>
      <c r="I277" s="25">
        <v>3170</v>
      </c>
      <c r="J277" s="26">
        <f t="shared" si="27"/>
        <v>6</v>
      </c>
      <c r="K277" s="21">
        <f t="shared" si="28"/>
        <v>29.100599999999996</v>
      </c>
      <c r="L277" s="38">
        <v>1.75</v>
      </c>
      <c r="M277" s="30">
        <v>5</v>
      </c>
      <c r="N277" s="28">
        <f t="shared" si="29"/>
        <v>4.8201199999999993</v>
      </c>
      <c r="O277" s="39">
        <f t="shared" si="30"/>
        <v>35.670719999999996</v>
      </c>
    </row>
    <row r="278" spans="1:15" x14ac:dyDescent="0.3">
      <c r="A278" s="19"/>
      <c r="B278" s="20">
        <v>0.4375</v>
      </c>
      <c r="C278" s="21">
        <v>39</v>
      </c>
      <c r="D278" s="33">
        <v>32.9</v>
      </c>
      <c r="E278" s="7">
        <v>26</v>
      </c>
      <c r="F278" s="11">
        <f t="shared" si="25"/>
        <v>6.1000000000000014</v>
      </c>
      <c r="G278" s="23">
        <f t="shared" si="25"/>
        <v>6.8999999999999986</v>
      </c>
      <c r="H278" s="24">
        <f t="shared" si="26"/>
        <v>46.923076923076934</v>
      </c>
      <c r="I278" s="25">
        <v>3339</v>
      </c>
      <c r="J278" s="26">
        <f t="shared" si="27"/>
        <v>6.1000000000000014</v>
      </c>
      <c r="K278" s="21">
        <f t="shared" si="28"/>
        <v>31.162887000000008</v>
      </c>
      <c r="L278" s="38">
        <v>1.75</v>
      </c>
      <c r="M278" s="30">
        <v>5</v>
      </c>
      <c r="N278" s="28">
        <f t="shared" si="29"/>
        <v>5.232577400000002</v>
      </c>
      <c r="O278" s="39">
        <f t="shared" si="30"/>
        <v>38.145464400000016</v>
      </c>
    </row>
    <row r="279" spans="1:15" x14ac:dyDescent="0.3">
      <c r="A279" s="19"/>
      <c r="B279" s="20">
        <v>0.52083333333333337</v>
      </c>
      <c r="C279" s="21">
        <v>40.799999999999997</v>
      </c>
      <c r="D279" s="33">
        <v>34.4</v>
      </c>
      <c r="E279" s="7">
        <v>26</v>
      </c>
      <c r="F279" s="11">
        <f t="shared" si="25"/>
        <v>6.3999999999999986</v>
      </c>
      <c r="G279" s="23">
        <f t="shared" si="25"/>
        <v>8.3999999999999986</v>
      </c>
      <c r="H279" s="24">
        <f t="shared" si="26"/>
        <v>43.243243243243242</v>
      </c>
      <c r="I279" s="25">
        <v>3214</v>
      </c>
      <c r="J279" s="26">
        <f t="shared" si="27"/>
        <v>6.3999999999999986</v>
      </c>
      <c r="K279" s="21">
        <f t="shared" si="28"/>
        <v>31.471487999999994</v>
      </c>
      <c r="L279" s="38">
        <v>1.75</v>
      </c>
      <c r="M279" s="30">
        <v>5</v>
      </c>
      <c r="N279" s="28">
        <f t="shared" si="29"/>
        <v>5.2942975999999984</v>
      </c>
      <c r="O279" s="39">
        <f t="shared" si="30"/>
        <v>38.515785599999994</v>
      </c>
    </row>
    <row r="280" spans="1:15" x14ac:dyDescent="0.3">
      <c r="A280" s="19"/>
      <c r="B280" s="20">
        <v>0.60416666666666663</v>
      </c>
      <c r="C280" s="21">
        <v>40.4</v>
      </c>
      <c r="D280" s="33">
        <v>34.1</v>
      </c>
      <c r="E280" s="7">
        <v>26</v>
      </c>
      <c r="F280" s="11">
        <f t="shared" si="25"/>
        <v>6.2999999999999972</v>
      </c>
      <c r="G280" s="23">
        <f t="shared" si="25"/>
        <v>8.1000000000000014</v>
      </c>
      <c r="H280" s="24">
        <f t="shared" si="26"/>
        <v>43.749999999999986</v>
      </c>
      <c r="I280" s="25">
        <v>3177</v>
      </c>
      <c r="J280" s="26">
        <f t="shared" si="27"/>
        <v>6.2999999999999972</v>
      </c>
      <c r="K280" s="21">
        <f t="shared" si="28"/>
        <v>30.623102999999986</v>
      </c>
      <c r="L280" s="38">
        <v>1.75</v>
      </c>
      <c r="M280" s="30">
        <v>5</v>
      </c>
      <c r="N280" s="28">
        <f t="shared" si="29"/>
        <v>5.1246205999999974</v>
      </c>
      <c r="O280" s="39">
        <f t="shared" si="30"/>
        <v>37.497723599999986</v>
      </c>
    </row>
    <row r="281" spans="1:15" x14ac:dyDescent="0.3">
      <c r="A281" s="19"/>
      <c r="B281" s="20">
        <v>0.6875</v>
      </c>
      <c r="C281" s="21">
        <v>39.700000000000003</v>
      </c>
      <c r="D281" s="33">
        <v>33.5</v>
      </c>
      <c r="E281" s="7">
        <v>26</v>
      </c>
      <c r="F281" s="11">
        <f t="shared" si="25"/>
        <v>6.2000000000000028</v>
      </c>
      <c r="G281" s="23">
        <f t="shared" si="25"/>
        <v>7.5</v>
      </c>
      <c r="H281" s="24">
        <f t="shared" si="26"/>
        <v>45.255474452554758</v>
      </c>
      <c r="I281" s="25">
        <v>3217</v>
      </c>
      <c r="J281" s="26">
        <f t="shared" si="27"/>
        <v>6.2000000000000028</v>
      </c>
      <c r="K281" s="21">
        <f t="shared" si="28"/>
        <v>30.516462000000011</v>
      </c>
      <c r="L281" s="38">
        <v>1.75</v>
      </c>
      <c r="M281" s="30">
        <v>5</v>
      </c>
      <c r="N281" s="28">
        <f t="shared" si="29"/>
        <v>5.1032924000000026</v>
      </c>
      <c r="O281" s="39">
        <f t="shared" si="30"/>
        <v>37.369754400000012</v>
      </c>
    </row>
    <row r="282" spans="1:15" x14ac:dyDescent="0.3">
      <c r="A282" s="19"/>
      <c r="B282" s="20">
        <v>0.77083333333333337</v>
      </c>
      <c r="C282" s="21">
        <v>39.700000000000003</v>
      </c>
      <c r="D282" s="33">
        <v>33.5</v>
      </c>
      <c r="E282" s="7">
        <v>26</v>
      </c>
      <c r="F282" s="11">
        <f t="shared" si="25"/>
        <v>6.2000000000000028</v>
      </c>
      <c r="G282" s="23">
        <f t="shared" si="25"/>
        <v>7.5</v>
      </c>
      <c r="H282" s="24">
        <f t="shared" si="26"/>
        <v>45.255474452554758</v>
      </c>
      <c r="I282" s="25">
        <v>3172</v>
      </c>
      <c r="J282" s="26">
        <f t="shared" si="27"/>
        <v>6.2000000000000028</v>
      </c>
      <c r="K282" s="21">
        <f t="shared" si="28"/>
        <v>30.089592000000014</v>
      </c>
      <c r="L282" s="38">
        <v>1.75</v>
      </c>
      <c r="M282" s="30">
        <v>5</v>
      </c>
      <c r="N282" s="28">
        <f t="shared" si="29"/>
        <v>5.0179184000000028</v>
      </c>
      <c r="O282" s="39">
        <f t="shared" si="30"/>
        <v>36.857510400000017</v>
      </c>
    </row>
    <row r="283" spans="1:15" x14ac:dyDescent="0.3">
      <c r="A283" s="19"/>
      <c r="B283" s="20">
        <v>0.85416666666666663</v>
      </c>
      <c r="C283" s="21">
        <v>40.1</v>
      </c>
      <c r="D283" s="33">
        <v>33.200000000000003</v>
      </c>
      <c r="E283" s="7">
        <v>26</v>
      </c>
      <c r="F283" s="11">
        <f t="shared" si="25"/>
        <v>6.8999999999999986</v>
      </c>
      <c r="G283" s="23">
        <f t="shared" si="25"/>
        <v>7.2000000000000028</v>
      </c>
      <c r="H283" s="24">
        <f t="shared" si="26"/>
        <v>48.936170212765944</v>
      </c>
      <c r="I283" s="25">
        <v>3266</v>
      </c>
      <c r="J283" s="26">
        <f t="shared" si="27"/>
        <v>6.8999999999999986</v>
      </c>
      <c r="K283" s="21">
        <f t="shared" si="28"/>
        <v>34.479161999999988</v>
      </c>
      <c r="L283" s="38">
        <v>1.75</v>
      </c>
      <c r="M283" s="30">
        <v>5</v>
      </c>
      <c r="N283" s="28">
        <f t="shared" si="29"/>
        <v>5.895832399999998</v>
      </c>
      <c r="O283" s="39">
        <f t="shared" si="30"/>
        <v>42.124994399999984</v>
      </c>
    </row>
    <row r="284" spans="1:15" x14ac:dyDescent="0.3">
      <c r="A284" s="19"/>
      <c r="B284" s="20">
        <v>0.9375</v>
      </c>
      <c r="C284" s="21">
        <v>39.799999999999997</v>
      </c>
      <c r="D284" s="33">
        <v>33.6</v>
      </c>
      <c r="E284" s="7">
        <v>26</v>
      </c>
      <c r="F284" s="11">
        <f t="shared" si="25"/>
        <v>6.1999999999999957</v>
      </c>
      <c r="G284" s="23">
        <f t="shared" si="25"/>
        <v>7.6000000000000014</v>
      </c>
      <c r="H284" s="24">
        <f t="shared" si="26"/>
        <v>44.927536231884034</v>
      </c>
      <c r="I284" s="25">
        <v>3238</v>
      </c>
      <c r="J284" s="26">
        <f t="shared" si="27"/>
        <v>6.1999999999999957</v>
      </c>
      <c r="K284" s="21">
        <f t="shared" si="28"/>
        <v>30.715667999999976</v>
      </c>
      <c r="L284" s="38">
        <v>1.75</v>
      </c>
      <c r="M284" s="30">
        <v>5</v>
      </c>
      <c r="N284" s="28">
        <f t="shared" si="29"/>
        <v>5.1431335999999952</v>
      </c>
      <c r="O284" s="39">
        <f t="shared" si="30"/>
        <v>37.608801599999978</v>
      </c>
    </row>
    <row r="285" spans="1:15" x14ac:dyDescent="0.3">
      <c r="A285" s="19"/>
      <c r="B285" s="20">
        <v>2.0833333333333332E-2</v>
      </c>
      <c r="C285" s="21">
        <v>39.799999999999997</v>
      </c>
      <c r="D285" s="33">
        <v>33.6</v>
      </c>
      <c r="E285" s="7">
        <v>26</v>
      </c>
      <c r="F285" s="11">
        <f t="shared" si="25"/>
        <v>6.1999999999999957</v>
      </c>
      <c r="G285" s="23">
        <f t="shared" si="25"/>
        <v>7.6000000000000014</v>
      </c>
      <c r="H285" s="24">
        <f t="shared" si="26"/>
        <v>44.927536231884034</v>
      </c>
      <c r="I285" s="25">
        <v>3110</v>
      </c>
      <c r="J285" s="26">
        <f t="shared" si="27"/>
        <v>6.1999999999999957</v>
      </c>
      <c r="K285" s="21">
        <f t="shared" si="28"/>
        <v>29.501459999999977</v>
      </c>
      <c r="L285" s="38">
        <v>1.75</v>
      </c>
      <c r="M285" s="30">
        <v>5</v>
      </c>
      <c r="N285" s="28">
        <f t="shared" si="29"/>
        <v>4.900291999999995</v>
      </c>
      <c r="O285" s="39">
        <f t="shared" si="30"/>
        <v>36.151751999999973</v>
      </c>
    </row>
    <row r="286" spans="1:15" x14ac:dyDescent="0.3">
      <c r="A286" s="19"/>
      <c r="B286" s="20">
        <v>0.10416666666666667</v>
      </c>
      <c r="C286" s="21">
        <v>40.299999999999997</v>
      </c>
      <c r="D286" s="33">
        <v>33.799999999999997</v>
      </c>
      <c r="E286" s="7">
        <v>26</v>
      </c>
      <c r="F286" s="11">
        <f t="shared" si="25"/>
        <v>6.5</v>
      </c>
      <c r="G286" s="23">
        <f t="shared" si="25"/>
        <v>7.7999999999999972</v>
      </c>
      <c r="H286" s="24">
        <f t="shared" si="26"/>
        <v>45.454545454545467</v>
      </c>
      <c r="I286" s="25">
        <v>3261</v>
      </c>
      <c r="J286" s="26">
        <f t="shared" si="27"/>
        <v>6.5</v>
      </c>
      <c r="K286" s="21">
        <f t="shared" si="28"/>
        <v>32.430644999999998</v>
      </c>
      <c r="L286" s="38">
        <v>1.75</v>
      </c>
      <c r="M286" s="30">
        <v>5</v>
      </c>
      <c r="N286" s="28">
        <f t="shared" si="29"/>
        <v>5.486129</v>
      </c>
      <c r="O286" s="39">
        <f t="shared" si="30"/>
        <v>39.666773999999997</v>
      </c>
    </row>
    <row r="287" spans="1:15" x14ac:dyDescent="0.3">
      <c r="A287" s="19"/>
      <c r="B287" s="20">
        <v>0.1875</v>
      </c>
      <c r="C287" s="21">
        <v>40.1</v>
      </c>
      <c r="D287" s="33">
        <v>34</v>
      </c>
      <c r="E287" s="7">
        <v>26</v>
      </c>
      <c r="F287" s="11">
        <f t="shared" si="25"/>
        <v>6.1000000000000014</v>
      </c>
      <c r="G287" s="23">
        <f t="shared" si="25"/>
        <v>8</v>
      </c>
      <c r="H287" s="24">
        <f t="shared" si="26"/>
        <v>43.262411347517741</v>
      </c>
      <c r="I287" s="25">
        <v>3131</v>
      </c>
      <c r="J287" s="26">
        <f t="shared" si="27"/>
        <v>6.1000000000000014</v>
      </c>
      <c r="K287" s="21">
        <f t="shared" si="28"/>
        <v>29.221623000000005</v>
      </c>
      <c r="L287" s="38">
        <v>1.75</v>
      </c>
      <c r="M287" s="30">
        <v>5</v>
      </c>
      <c r="N287" s="28">
        <f t="shared" si="29"/>
        <v>4.8443246000000011</v>
      </c>
      <c r="O287" s="39">
        <f t="shared" si="30"/>
        <v>35.815947600000008</v>
      </c>
    </row>
    <row r="288" spans="1:15" s="3" customFormat="1" x14ac:dyDescent="0.3">
      <c r="A288" s="34"/>
      <c r="B288" s="34"/>
      <c r="C288" s="34"/>
      <c r="D288" s="34"/>
      <c r="E288" s="34"/>
      <c r="F288" s="34"/>
      <c r="G288" s="34" t="s">
        <v>8</v>
      </c>
      <c r="H288" s="34">
        <f>AVERAGE(H276:H287)</f>
        <v>45.994622379168909</v>
      </c>
      <c r="I288" s="34"/>
      <c r="J288" s="34"/>
      <c r="K288" s="34">
        <f>AVERAGE(K276:K287)</f>
        <v>30.749531999999999</v>
      </c>
      <c r="L288" s="34"/>
      <c r="M288" s="34"/>
      <c r="N288" s="34">
        <f>AVERAGE(N276:N287)</f>
        <v>5.1499063999999981</v>
      </c>
      <c r="O288" s="34">
        <f>AVERAGE(O276:O287)</f>
        <v>37.649438399999994</v>
      </c>
    </row>
    <row r="289" spans="1:15" x14ac:dyDescent="0.3">
      <c r="A289" s="19">
        <v>44584</v>
      </c>
      <c r="B289" s="20">
        <v>0.27083333333333331</v>
      </c>
      <c r="C289" s="21">
        <v>40.5</v>
      </c>
      <c r="D289" s="21">
        <v>34.200000000000003</v>
      </c>
      <c r="E289" s="7">
        <v>26</v>
      </c>
      <c r="F289" s="11">
        <f t="shared" si="25"/>
        <v>6.2999999999999972</v>
      </c>
      <c r="G289" s="23">
        <f t="shared" si="25"/>
        <v>8.2000000000000028</v>
      </c>
      <c r="H289" s="24">
        <f t="shared" si="26"/>
        <v>43.448275862068947</v>
      </c>
      <c r="I289" s="25">
        <v>3139</v>
      </c>
      <c r="J289" s="26">
        <f t="shared" si="27"/>
        <v>6.2999999999999972</v>
      </c>
      <c r="K289" s="21">
        <f t="shared" si="28"/>
        <v>30.256820999999988</v>
      </c>
      <c r="L289" s="38">
        <v>1.75</v>
      </c>
      <c r="M289" s="30">
        <v>5</v>
      </c>
      <c r="N289" s="28">
        <f t="shared" si="29"/>
        <v>5.0513641999999974</v>
      </c>
      <c r="O289" s="39">
        <f t="shared" si="30"/>
        <v>37.058185199999983</v>
      </c>
    </row>
    <row r="290" spans="1:15" x14ac:dyDescent="0.3">
      <c r="A290" s="31"/>
      <c r="B290" s="20">
        <v>0.35416666666666669</v>
      </c>
      <c r="C290" s="21">
        <v>40.4</v>
      </c>
      <c r="D290" s="21">
        <v>34.1</v>
      </c>
      <c r="E290" s="7">
        <v>26</v>
      </c>
      <c r="F290" s="11">
        <f t="shared" si="25"/>
        <v>6.2999999999999972</v>
      </c>
      <c r="G290" s="23">
        <f t="shared" si="25"/>
        <v>8.1000000000000014</v>
      </c>
      <c r="H290" s="24">
        <f t="shared" si="26"/>
        <v>43.749999999999986</v>
      </c>
      <c r="I290" s="25">
        <v>3181</v>
      </c>
      <c r="J290" s="26">
        <f t="shared" si="27"/>
        <v>6.2999999999999972</v>
      </c>
      <c r="K290" s="21">
        <f t="shared" si="28"/>
        <v>30.661658999999986</v>
      </c>
      <c r="L290" s="38">
        <v>1.75</v>
      </c>
      <c r="M290" s="30">
        <v>5</v>
      </c>
      <c r="N290" s="28">
        <f t="shared" si="29"/>
        <v>5.1323317999999976</v>
      </c>
      <c r="O290" s="39">
        <f t="shared" si="30"/>
        <v>37.543990799999982</v>
      </c>
    </row>
    <row r="291" spans="1:15" x14ac:dyDescent="0.3">
      <c r="A291" s="31"/>
      <c r="B291" s="20">
        <v>0.4375</v>
      </c>
      <c r="C291" s="21">
        <v>41.2</v>
      </c>
      <c r="D291" s="21">
        <v>34.799999999999997</v>
      </c>
      <c r="E291" s="7">
        <v>26</v>
      </c>
      <c r="F291" s="11">
        <f t="shared" si="25"/>
        <v>6.4000000000000057</v>
      </c>
      <c r="G291" s="23">
        <f t="shared" si="25"/>
        <v>8.7999999999999972</v>
      </c>
      <c r="H291" s="24">
        <f t="shared" si="26"/>
        <v>42.105263157894768</v>
      </c>
      <c r="I291" s="25">
        <v>3266</v>
      </c>
      <c r="J291" s="26">
        <f t="shared" si="27"/>
        <v>6.4000000000000057</v>
      </c>
      <c r="K291" s="21">
        <f t="shared" si="28"/>
        <v>31.980672000000027</v>
      </c>
      <c r="L291" s="38">
        <v>1.75</v>
      </c>
      <c r="M291" s="30">
        <v>5</v>
      </c>
      <c r="N291" s="28">
        <f t="shared" si="29"/>
        <v>5.3961344000000055</v>
      </c>
      <c r="O291" s="39">
        <f t="shared" si="30"/>
        <v>39.126806400000035</v>
      </c>
    </row>
    <row r="292" spans="1:15" x14ac:dyDescent="0.3">
      <c r="A292" s="31"/>
      <c r="B292" s="20">
        <v>0.52083333333333337</v>
      </c>
      <c r="C292" s="21">
        <v>42.1</v>
      </c>
      <c r="D292" s="21">
        <v>35.1</v>
      </c>
      <c r="E292" s="7">
        <v>26</v>
      </c>
      <c r="F292" s="11">
        <f t="shared" si="25"/>
        <v>7</v>
      </c>
      <c r="G292" s="23">
        <f t="shared" si="25"/>
        <v>9.1000000000000014</v>
      </c>
      <c r="H292" s="24">
        <f t="shared" si="26"/>
        <v>43.478260869565219</v>
      </c>
      <c r="I292" s="25">
        <v>3205</v>
      </c>
      <c r="J292" s="26">
        <f t="shared" si="27"/>
        <v>7</v>
      </c>
      <c r="K292" s="21">
        <f t="shared" si="28"/>
        <v>34.32555</v>
      </c>
      <c r="L292" s="38">
        <v>1.75</v>
      </c>
      <c r="M292" s="30">
        <v>5</v>
      </c>
      <c r="N292" s="28">
        <f t="shared" si="29"/>
        <v>5.8651099999999996</v>
      </c>
      <c r="O292" s="39">
        <f t="shared" si="30"/>
        <v>41.940660000000001</v>
      </c>
    </row>
    <row r="293" spans="1:15" x14ac:dyDescent="0.3">
      <c r="A293" s="31"/>
      <c r="B293" s="20">
        <v>0.60416666666666663</v>
      </c>
      <c r="C293" s="21">
        <v>42</v>
      </c>
      <c r="D293" s="21">
        <v>35.299999999999997</v>
      </c>
      <c r="E293" s="7">
        <v>26</v>
      </c>
      <c r="F293" s="11">
        <f t="shared" si="25"/>
        <v>6.7000000000000028</v>
      </c>
      <c r="G293" s="23">
        <f t="shared" si="25"/>
        <v>9.2999999999999972</v>
      </c>
      <c r="H293" s="24">
        <f t="shared" si="26"/>
        <v>41.875000000000014</v>
      </c>
      <c r="I293" s="25">
        <v>3275</v>
      </c>
      <c r="J293" s="26">
        <f t="shared" si="27"/>
        <v>6.7000000000000028</v>
      </c>
      <c r="K293" s="21">
        <f t="shared" si="28"/>
        <v>33.572025000000011</v>
      </c>
      <c r="L293" s="38">
        <v>1.75</v>
      </c>
      <c r="M293" s="30">
        <v>5</v>
      </c>
      <c r="N293" s="28">
        <f t="shared" si="29"/>
        <v>5.714405000000002</v>
      </c>
      <c r="O293" s="39">
        <f t="shared" si="30"/>
        <v>41.03643000000001</v>
      </c>
    </row>
    <row r="294" spans="1:15" x14ac:dyDescent="0.3">
      <c r="A294" s="31"/>
      <c r="B294" s="20">
        <v>0.6875</v>
      </c>
      <c r="C294" s="21">
        <v>41.5</v>
      </c>
      <c r="D294" s="21">
        <v>34.9</v>
      </c>
      <c r="E294" s="7">
        <v>26</v>
      </c>
      <c r="F294" s="11">
        <f t="shared" si="25"/>
        <v>6.6000000000000014</v>
      </c>
      <c r="G294" s="23">
        <f t="shared" si="25"/>
        <v>8.8999999999999986</v>
      </c>
      <c r="H294" s="24">
        <f t="shared" si="26"/>
        <v>42.580645161290334</v>
      </c>
      <c r="I294" s="25">
        <v>3225</v>
      </c>
      <c r="J294" s="26">
        <f t="shared" si="27"/>
        <v>6.6000000000000014</v>
      </c>
      <c r="K294" s="21">
        <f t="shared" si="28"/>
        <v>32.566050000000004</v>
      </c>
      <c r="L294" s="38">
        <v>1.75</v>
      </c>
      <c r="M294" s="30">
        <v>5</v>
      </c>
      <c r="N294" s="28">
        <f t="shared" si="29"/>
        <v>5.5132100000000008</v>
      </c>
      <c r="O294" s="39">
        <f t="shared" si="30"/>
        <v>39.829260000000005</v>
      </c>
    </row>
    <row r="295" spans="1:15" x14ac:dyDescent="0.3">
      <c r="A295" s="31"/>
      <c r="B295" s="20">
        <v>0.77083333333333337</v>
      </c>
      <c r="C295" s="21">
        <v>41.4</v>
      </c>
      <c r="D295" s="21">
        <v>34.700000000000003</v>
      </c>
      <c r="E295" s="7">
        <v>26</v>
      </c>
      <c r="F295" s="11">
        <f t="shared" si="25"/>
        <v>6.6999999999999957</v>
      </c>
      <c r="G295" s="23">
        <f t="shared" si="25"/>
        <v>8.7000000000000028</v>
      </c>
      <c r="H295" s="24">
        <f t="shared" si="26"/>
        <v>43.506493506493484</v>
      </c>
      <c r="I295" s="25">
        <v>3172</v>
      </c>
      <c r="J295" s="26">
        <f t="shared" si="27"/>
        <v>6.6999999999999957</v>
      </c>
      <c r="K295" s="21">
        <f t="shared" si="28"/>
        <v>32.516171999999976</v>
      </c>
      <c r="L295" s="38">
        <v>1.75</v>
      </c>
      <c r="M295" s="30">
        <v>5</v>
      </c>
      <c r="N295" s="28">
        <f t="shared" si="29"/>
        <v>5.5032343999999949</v>
      </c>
      <c r="O295" s="39">
        <f t="shared" si="30"/>
        <v>39.769406399999973</v>
      </c>
    </row>
    <row r="296" spans="1:15" x14ac:dyDescent="0.3">
      <c r="A296" s="31"/>
      <c r="B296" s="20">
        <v>0.85416666666666663</v>
      </c>
      <c r="C296" s="21">
        <v>41.1</v>
      </c>
      <c r="D296" s="21">
        <v>34.4</v>
      </c>
      <c r="E296" s="7">
        <v>26</v>
      </c>
      <c r="F296" s="11">
        <f t="shared" si="25"/>
        <v>6.7000000000000028</v>
      </c>
      <c r="G296" s="23">
        <f t="shared" si="25"/>
        <v>8.3999999999999986</v>
      </c>
      <c r="H296" s="24">
        <f t="shared" si="26"/>
        <v>44.370860927152336</v>
      </c>
      <c r="I296" s="25">
        <v>3135</v>
      </c>
      <c r="J296" s="26">
        <f t="shared" si="27"/>
        <v>6.7000000000000028</v>
      </c>
      <c r="K296" s="21">
        <f t="shared" si="28"/>
        <v>32.136885000000014</v>
      </c>
      <c r="L296" s="38">
        <v>1.75</v>
      </c>
      <c r="M296" s="30">
        <v>5</v>
      </c>
      <c r="N296" s="28">
        <f t="shared" si="29"/>
        <v>5.4273770000000026</v>
      </c>
      <c r="O296" s="39">
        <f t="shared" si="30"/>
        <v>39.314262000000014</v>
      </c>
    </row>
    <row r="297" spans="1:15" x14ac:dyDescent="0.3">
      <c r="A297" s="31"/>
      <c r="B297" s="20">
        <v>0.9375</v>
      </c>
      <c r="C297" s="21">
        <v>41</v>
      </c>
      <c r="D297" s="21">
        <v>34.299999999999997</v>
      </c>
      <c r="E297" s="7">
        <v>26</v>
      </c>
      <c r="F297" s="11">
        <f t="shared" si="25"/>
        <v>6.7000000000000028</v>
      </c>
      <c r="G297" s="23">
        <f t="shared" si="25"/>
        <v>8.2999999999999972</v>
      </c>
      <c r="H297" s="24">
        <f t="shared" si="26"/>
        <v>44.666666666666686</v>
      </c>
      <c r="I297" s="25">
        <v>3167</v>
      </c>
      <c r="J297" s="26">
        <f t="shared" si="27"/>
        <v>6.7000000000000028</v>
      </c>
      <c r="K297" s="21">
        <f t="shared" si="28"/>
        <v>32.464917000000014</v>
      </c>
      <c r="L297" s="38">
        <v>1.75</v>
      </c>
      <c r="M297" s="30">
        <v>5</v>
      </c>
      <c r="N297" s="28">
        <f t="shared" si="29"/>
        <v>5.4929834000000026</v>
      </c>
      <c r="O297" s="39">
        <f t="shared" si="30"/>
        <v>39.707900400000014</v>
      </c>
    </row>
    <row r="298" spans="1:15" x14ac:dyDescent="0.3">
      <c r="A298" s="31"/>
      <c r="B298" s="20">
        <v>2.0833333333333332E-2</v>
      </c>
      <c r="C298" s="21">
        <v>40.9</v>
      </c>
      <c r="D298" s="21">
        <v>34.299999999999997</v>
      </c>
      <c r="E298" s="7">
        <v>26</v>
      </c>
      <c r="F298" s="11">
        <f t="shared" si="25"/>
        <v>6.6000000000000014</v>
      </c>
      <c r="G298" s="23">
        <f t="shared" si="25"/>
        <v>8.2999999999999972</v>
      </c>
      <c r="H298" s="24">
        <f t="shared" si="26"/>
        <v>44.295302013422834</v>
      </c>
      <c r="I298" s="25">
        <v>3126</v>
      </c>
      <c r="J298" s="26">
        <f t="shared" si="27"/>
        <v>6.6000000000000014</v>
      </c>
      <c r="K298" s="21">
        <f t="shared" si="28"/>
        <v>31.566348000000005</v>
      </c>
      <c r="L298" s="38">
        <v>1.75</v>
      </c>
      <c r="M298" s="30">
        <v>5</v>
      </c>
      <c r="N298" s="28">
        <f t="shared" si="29"/>
        <v>5.3132696000000008</v>
      </c>
      <c r="O298" s="39">
        <f t="shared" si="30"/>
        <v>38.629617600000003</v>
      </c>
    </row>
    <row r="299" spans="1:15" x14ac:dyDescent="0.3">
      <c r="A299" s="31"/>
      <c r="B299" s="20">
        <v>0.10416666666666667</v>
      </c>
      <c r="C299" s="21">
        <v>40.6</v>
      </c>
      <c r="D299" s="21">
        <v>34</v>
      </c>
      <c r="E299" s="7">
        <v>26</v>
      </c>
      <c r="F299" s="11">
        <f t="shared" si="25"/>
        <v>6.6000000000000014</v>
      </c>
      <c r="G299" s="23">
        <f t="shared" si="25"/>
        <v>8</v>
      </c>
      <c r="H299" s="24">
        <f t="shared" si="26"/>
        <v>45.205479452054796</v>
      </c>
      <c r="I299" s="25">
        <v>3244</v>
      </c>
      <c r="J299" s="26">
        <f t="shared" si="27"/>
        <v>6.6000000000000014</v>
      </c>
      <c r="K299" s="21">
        <f t="shared" si="28"/>
        <v>32.757912000000005</v>
      </c>
      <c r="L299" s="38">
        <v>1.75</v>
      </c>
      <c r="M299" s="30">
        <v>5</v>
      </c>
      <c r="N299" s="28">
        <f t="shared" si="29"/>
        <v>5.5515824000000009</v>
      </c>
      <c r="O299" s="39">
        <f t="shared" si="30"/>
        <v>40.059494400000005</v>
      </c>
    </row>
    <row r="300" spans="1:15" x14ac:dyDescent="0.3">
      <c r="A300" s="31"/>
      <c r="B300" s="20">
        <v>0.1875</v>
      </c>
      <c r="C300" s="21">
        <v>39.700000000000003</v>
      </c>
      <c r="D300" s="21">
        <v>33.299999999999997</v>
      </c>
      <c r="E300" s="7">
        <v>26</v>
      </c>
      <c r="F300" s="11">
        <f t="shared" si="25"/>
        <v>6.4000000000000057</v>
      </c>
      <c r="G300" s="23">
        <f t="shared" si="25"/>
        <v>7.2999999999999972</v>
      </c>
      <c r="H300" s="24">
        <f t="shared" si="26"/>
        <v>46.715328467153313</v>
      </c>
      <c r="I300" s="25">
        <v>3163</v>
      </c>
      <c r="J300" s="26">
        <f t="shared" si="27"/>
        <v>6.4000000000000057</v>
      </c>
      <c r="K300" s="21">
        <f t="shared" si="28"/>
        <v>30.972096000000025</v>
      </c>
      <c r="L300" s="38">
        <v>1.75</v>
      </c>
      <c r="M300" s="30">
        <v>5</v>
      </c>
      <c r="N300" s="28">
        <f t="shared" si="29"/>
        <v>5.1944192000000049</v>
      </c>
      <c r="O300" s="39">
        <f t="shared" si="30"/>
        <v>37.916515200000028</v>
      </c>
    </row>
    <row r="301" spans="1:15" s="3" customFormat="1" x14ac:dyDescent="0.3">
      <c r="A301" s="34"/>
      <c r="B301" s="34"/>
      <c r="C301" s="34"/>
      <c r="D301" s="34"/>
      <c r="E301" s="34"/>
      <c r="F301" s="34"/>
      <c r="G301" s="34" t="s">
        <v>8</v>
      </c>
      <c r="H301" s="34">
        <f>AVERAGE(H289:H300)</f>
        <v>43.83313134031355</v>
      </c>
      <c r="I301" s="34"/>
      <c r="J301" s="34"/>
      <c r="K301" s="34">
        <f>AVERAGE(K289:K300)</f>
        <v>32.148092250000005</v>
      </c>
      <c r="L301" s="34"/>
      <c r="M301" s="34"/>
      <c r="N301" s="34">
        <f>AVERAGE(N289:N300)</f>
        <v>5.4296184500000004</v>
      </c>
      <c r="O301" s="34">
        <f>AVERAGE(O289:O300)</f>
        <v>39.327710700000004</v>
      </c>
    </row>
    <row r="302" spans="1:15" x14ac:dyDescent="0.3">
      <c r="A302" s="19">
        <v>44585</v>
      </c>
      <c r="B302" s="20">
        <v>0.27083333333333331</v>
      </c>
      <c r="C302" s="21">
        <v>38.9</v>
      </c>
      <c r="D302" s="33">
        <v>32</v>
      </c>
      <c r="E302" s="7">
        <v>26</v>
      </c>
      <c r="F302" s="11">
        <f t="shared" si="25"/>
        <v>6.8999999999999986</v>
      </c>
      <c r="G302" s="23">
        <f t="shared" si="25"/>
        <v>6</v>
      </c>
      <c r="H302" s="24">
        <f t="shared" si="26"/>
        <v>53.488372093023251</v>
      </c>
      <c r="I302" s="25">
        <v>3161</v>
      </c>
      <c r="J302" s="26">
        <f t="shared" si="27"/>
        <v>6.8999999999999986</v>
      </c>
      <c r="K302" s="21">
        <f t="shared" si="28"/>
        <v>33.370676999999986</v>
      </c>
      <c r="L302" s="38">
        <v>1.75</v>
      </c>
      <c r="M302" s="30">
        <v>5</v>
      </c>
      <c r="N302" s="28">
        <f t="shared" si="29"/>
        <v>5.6741353999999973</v>
      </c>
      <c r="O302" s="39">
        <f t="shared" si="30"/>
        <v>40.794812399999984</v>
      </c>
    </row>
    <row r="303" spans="1:15" x14ac:dyDescent="0.3">
      <c r="A303" s="19"/>
      <c r="B303" s="20">
        <v>0.35416666666666669</v>
      </c>
      <c r="C303" s="21">
        <v>38.9</v>
      </c>
      <c r="D303" s="33">
        <v>32</v>
      </c>
      <c r="E303" s="7">
        <v>26</v>
      </c>
      <c r="F303" s="11">
        <f t="shared" si="25"/>
        <v>6.8999999999999986</v>
      </c>
      <c r="G303" s="23">
        <f t="shared" si="25"/>
        <v>6</v>
      </c>
      <c r="H303" s="24">
        <f t="shared" si="26"/>
        <v>53.488372093023251</v>
      </c>
      <c r="I303" s="25">
        <v>3307</v>
      </c>
      <c r="J303" s="26">
        <f t="shared" si="27"/>
        <v>6.8999999999999986</v>
      </c>
      <c r="K303" s="21">
        <f t="shared" si="28"/>
        <v>34.911998999999994</v>
      </c>
      <c r="L303" s="38">
        <v>1.75</v>
      </c>
      <c r="M303" s="30">
        <v>5</v>
      </c>
      <c r="N303" s="28">
        <f t="shared" si="29"/>
        <v>5.9823997999999987</v>
      </c>
      <c r="O303" s="39">
        <f t="shared" si="30"/>
        <v>42.644398799999991</v>
      </c>
    </row>
    <row r="304" spans="1:15" x14ac:dyDescent="0.3">
      <c r="A304" s="19"/>
      <c r="B304" s="20">
        <v>0.4375</v>
      </c>
      <c r="C304" s="21">
        <v>39.1</v>
      </c>
      <c r="D304" s="33">
        <v>32</v>
      </c>
      <c r="E304" s="7">
        <v>26</v>
      </c>
      <c r="F304" s="11">
        <f t="shared" si="25"/>
        <v>7.1000000000000014</v>
      </c>
      <c r="G304" s="23">
        <f t="shared" si="25"/>
        <v>6</v>
      </c>
      <c r="H304" s="24">
        <f t="shared" si="26"/>
        <v>54.198473282442748</v>
      </c>
      <c r="I304" s="25">
        <v>3301</v>
      </c>
      <c r="J304" s="26">
        <f t="shared" si="27"/>
        <v>7.1000000000000014</v>
      </c>
      <c r="K304" s="21">
        <f t="shared" si="28"/>
        <v>35.858763000000003</v>
      </c>
      <c r="L304" s="38">
        <v>1.75</v>
      </c>
      <c r="M304" s="30">
        <v>5</v>
      </c>
      <c r="N304" s="28">
        <f t="shared" si="29"/>
        <v>6.1717526000000005</v>
      </c>
      <c r="O304" s="39">
        <f t="shared" si="30"/>
        <v>43.780515600000001</v>
      </c>
    </row>
    <row r="305" spans="1:15" x14ac:dyDescent="0.3">
      <c r="A305" s="19"/>
      <c r="B305" s="20">
        <v>0.52083333333333337</v>
      </c>
      <c r="C305" s="21">
        <v>38</v>
      </c>
      <c r="D305" s="33">
        <v>32</v>
      </c>
      <c r="E305" s="7">
        <v>26</v>
      </c>
      <c r="F305" s="11">
        <f t="shared" si="25"/>
        <v>6</v>
      </c>
      <c r="G305" s="23">
        <f t="shared" si="25"/>
        <v>6</v>
      </c>
      <c r="H305" s="24">
        <f t="shared" si="26"/>
        <v>50</v>
      </c>
      <c r="I305" s="25">
        <v>3221</v>
      </c>
      <c r="J305" s="26">
        <f t="shared" si="27"/>
        <v>6</v>
      </c>
      <c r="K305" s="21">
        <f t="shared" si="28"/>
        <v>29.568779999999997</v>
      </c>
      <c r="L305" s="38">
        <v>1.75</v>
      </c>
      <c r="M305" s="30">
        <v>5</v>
      </c>
      <c r="N305" s="28">
        <f t="shared" si="29"/>
        <v>4.9137559999999993</v>
      </c>
      <c r="O305" s="39">
        <f t="shared" si="30"/>
        <v>36.232535999999996</v>
      </c>
    </row>
    <row r="306" spans="1:15" x14ac:dyDescent="0.3">
      <c r="A306" s="19"/>
      <c r="B306" s="20">
        <v>0.60416666666666663</v>
      </c>
      <c r="C306" s="21">
        <v>39.6</v>
      </c>
      <c r="D306" s="33">
        <v>33</v>
      </c>
      <c r="E306" s="7">
        <v>26</v>
      </c>
      <c r="F306" s="11">
        <f t="shared" si="25"/>
        <v>6.6000000000000014</v>
      </c>
      <c r="G306" s="23">
        <f t="shared" si="25"/>
        <v>7</v>
      </c>
      <c r="H306" s="24">
        <f t="shared" si="26"/>
        <v>48.529411764705884</v>
      </c>
      <c r="I306" s="25">
        <v>3201</v>
      </c>
      <c r="J306" s="26">
        <f t="shared" si="27"/>
        <v>6.6000000000000014</v>
      </c>
      <c r="K306" s="21">
        <f t="shared" si="28"/>
        <v>32.323698000000007</v>
      </c>
      <c r="L306" s="38">
        <v>1.75</v>
      </c>
      <c r="M306" s="30">
        <v>5</v>
      </c>
      <c r="N306" s="28">
        <f t="shared" si="29"/>
        <v>5.4647396000000015</v>
      </c>
      <c r="O306" s="39">
        <f t="shared" si="30"/>
        <v>39.538437600000009</v>
      </c>
    </row>
    <row r="307" spans="1:15" x14ac:dyDescent="0.3">
      <c r="A307" s="19"/>
      <c r="B307" s="20">
        <v>0.6875</v>
      </c>
      <c r="C307" s="21">
        <v>39.700000000000003</v>
      </c>
      <c r="D307" s="33">
        <v>33.299999999999997</v>
      </c>
      <c r="E307" s="7">
        <v>26</v>
      </c>
      <c r="F307" s="11">
        <f t="shared" si="25"/>
        <v>6.4000000000000057</v>
      </c>
      <c r="G307" s="23">
        <f t="shared" si="25"/>
        <v>7.2999999999999972</v>
      </c>
      <c r="H307" s="24">
        <f t="shared" si="26"/>
        <v>46.715328467153313</v>
      </c>
      <c r="I307" s="25">
        <v>3162</v>
      </c>
      <c r="J307" s="26">
        <f t="shared" si="27"/>
        <v>6.4000000000000057</v>
      </c>
      <c r="K307" s="21">
        <f t="shared" si="28"/>
        <v>30.962304000000028</v>
      </c>
      <c r="L307" s="38">
        <v>1.75</v>
      </c>
      <c r="M307" s="30">
        <v>5</v>
      </c>
      <c r="N307" s="28">
        <f t="shared" si="29"/>
        <v>5.1924608000000054</v>
      </c>
      <c r="O307" s="39">
        <f t="shared" si="30"/>
        <v>37.904764800000038</v>
      </c>
    </row>
    <row r="308" spans="1:15" x14ac:dyDescent="0.3">
      <c r="A308" s="19"/>
      <c r="B308" s="20">
        <v>0.77083333333333337</v>
      </c>
      <c r="C308" s="21">
        <v>39.6</v>
      </c>
      <c r="D308" s="33">
        <v>33.200000000000003</v>
      </c>
      <c r="E308" s="7">
        <v>26</v>
      </c>
      <c r="F308" s="11">
        <f t="shared" si="25"/>
        <v>6.3999999999999986</v>
      </c>
      <c r="G308" s="23">
        <f t="shared" si="25"/>
        <v>7.2000000000000028</v>
      </c>
      <c r="H308" s="24">
        <f t="shared" si="26"/>
        <v>47.058823529411747</v>
      </c>
      <c r="I308" s="25">
        <v>3063</v>
      </c>
      <c r="J308" s="26">
        <f t="shared" si="27"/>
        <v>6.3999999999999986</v>
      </c>
      <c r="K308" s="21">
        <f t="shared" si="28"/>
        <v>29.992895999999991</v>
      </c>
      <c r="L308" s="38">
        <v>1.75</v>
      </c>
      <c r="M308" s="30">
        <v>5</v>
      </c>
      <c r="N308" s="28">
        <f t="shared" si="29"/>
        <v>4.9985791999999982</v>
      </c>
      <c r="O308" s="39">
        <f t="shared" si="30"/>
        <v>36.741475199999989</v>
      </c>
    </row>
    <row r="309" spans="1:15" x14ac:dyDescent="0.3">
      <c r="A309" s="19"/>
      <c r="B309" s="20">
        <v>0.85416666666666663</v>
      </c>
      <c r="C309" s="21">
        <v>39.5</v>
      </c>
      <c r="D309" s="33">
        <v>33.200000000000003</v>
      </c>
      <c r="E309" s="7">
        <v>26</v>
      </c>
      <c r="F309" s="11">
        <f t="shared" si="25"/>
        <v>6.2999999999999972</v>
      </c>
      <c r="G309" s="23">
        <f t="shared" si="25"/>
        <v>7.2000000000000028</v>
      </c>
      <c r="H309" s="24">
        <f t="shared" si="26"/>
        <v>46.666666666666643</v>
      </c>
      <c r="I309" s="25">
        <v>3146</v>
      </c>
      <c r="J309" s="26">
        <f t="shared" si="27"/>
        <v>6.2999999999999972</v>
      </c>
      <c r="K309" s="21">
        <f t="shared" si="28"/>
        <v>30.324293999999984</v>
      </c>
      <c r="L309" s="38">
        <v>1.75</v>
      </c>
      <c r="M309" s="30">
        <v>5</v>
      </c>
      <c r="N309" s="28">
        <f t="shared" si="29"/>
        <v>5.064858799999997</v>
      </c>
      <c r="O309" s="39">
        <f t="shared" si="30"/>
        <v>37.139152799999977</v>
      </c>
    </row>
    <row r="310" spans="1:15" x14ac:dyDescent="0.3">
      <c r="A310" s="19"/>
      <c r="B310" s="20">
        <v>0.9375</v>
      </c>
      <c r="C310" s="21">
        <v>38.799999999999997</v>
      </c>
      <c r="D310" s="33">
        <v>32.4</v>
      </c>
      <c r="E310" s="7">
        <v>26</v>
      </c>
      <c r="F310" s="11">
        <f t="shared" si="25"/>
        <v>6.3999999999999986</v>
      </c>
      <c r="G310" s="23">
        <f t="shared" si="25"/>
        <v>6.3999999999999986</v>
      </c>
      <c r="H310" s="24">
        <f t="shared" si="26"/>
        <v>50</v>
      </c>
      <c r="I310" s="25">
        <v>3090</v>
      </c>
      <c r="J310" s="26">
        <f t="shared" si="27"/>
        <v>6.3999999999999986</v>
      </c>
      <c r="K310" s="21">
        <f t="shared" si="28"/>
        <v>30.257279999999991</v>
      </c>
      <c r="L310" s="38">
        <v>1.75</v>
      </c>
      <c r="M310" s="30">
        <v>5</v>
      </c>
      <c r="N310" s="28">
        <f t="shared" si="29"/>
        <v>5.0514559999999982</v>
      </c>
      <c r="O310" s="39">
        <f t="shared" si="30"/>
        <v>37.058735999999996</v>
      </c>
    </row>
    <row r="311" spans="1:15" x14ac:dyDescent="0.3">
      <c r="A311" s="19"/>
      <c r="B311" s="20">
        <v>2.0833333333333332E-2</v>
      </c>
      <c r="C311" s="21">
        <v>38.299999999999997</v>
      </c>
      <c r="D311" s="33">
        <v>31.9</v>
      </c>
      <c r="E311" s="7">
        <v>26</v>
      </c>
      <c r="F311" s="11">
        <f t="shared" si="25"/>
        <v>6.3999999999999986</v>
      </c>
      <c r="G311" s="23">
        <f t="shared" si="25"/>
        <v>5.8999999999999986</v>
      </c>
      <c r="H311" s="24">
        <f t="shared" si="26"/>
        <v>52.032520325203258</v>
      </c>
      <c r="I311" s="25">
        <v>3151</v>
      </c>
      <c r="J311" s="26">
        <f t="shared" si="27"/>
        <v>6.3999999999999986</v>
      </c>
      <c r="K311" s="21">
        <f t="shared" si="28"/>
        <v>30.85459199999999</v>
      </c>
      <c r="L311" s="38">
        <v>1.75</v>
      </c>
      <c r="M311" s="30">
        <v>5</v>
      </c>
      <c r="N311" s="28">
        <f t="shared" si="29"/>
        <v>5.1709183999999979</v>
      </c>
      <c r="O311" s="39">
        <f t="shared" si="30"/>
        <v>37.775510399999987</v>
      </c>
    </row>
    <row r="312" spans="1:15" x14ac:dyDescent="0.3">
      <c r="A312" s="19"/>
      <c r="B312" s="20">
        <v>0.10416666666666667</v>
      </c>
      <c r="C312" s="21">
        <v>38.5</v>
      </c>
      <c r="D312" s="33">
        <v>31.9</v>
      </c>
      <c r="E312" s="7">
        <v>26</v>
      </c>
      <c r="F312" s="11">
        <f t="shared" si="25"/>
        <v>6.6000000000000014</v>
      </c>
      <c r="G312" s="23">
        <f t="shared" si="25"/>
        <v>5.8999999999999986</v>
      </c>
      <c r="H312" s="24">
        <f t="shared" si="26"/>
        <v>52.800000000000011</v>
      </c>
      <c r="I312" s="25">
        <v>3136</v>
      </c>
      <c r="J312" s="26">
        <f t="shared" si="27"/>
        <v>6.6000000000000014</v>
      </c>
      <c r="K312" s="21">
        <f t="shared" si="28"/>
        <v>31.667328000000005</v>
      </c>
      <c r="L312" s="38">
        <v>1.75</v>
      </c>
      <c r="M312" s="30">
        <v>5</v>
      </c>
      <c r="N312" s="28">
        <f t="shared" si="29"/>
        <v>5.3334656000000011</v>
      </c>
      <c r="O312" s="39">
        <f t="shared" si="30"/>
        <v>38.750793600000009</v>
      </c>
    </row>
    <row r="313" spans="1:15" x14ac:dyDescent="0.3">
      <c r="A313" s="19"/>
      <c r="B313" s="20">
        <v>0.1875</v>
      </c>
      <c r="C313" s="21">
        <v>38.700000000000003</v>
      </c>
      <c r="D313" s="33">
        <v>32.1</v>
      </c>
      <c r="E313" s="7">
        <v>26</v>
      </c>
      <c r="F313" s="11">
        <f t="shared" si="25"/>
        <v>6.6000000000000014</v>
      </c>
      <c r="G313" s="23">
        <f t="shared" si="25"/>
        <v>6.1000000000000014</v>
      </c>
      <c r="H313" s="24">
        <f t="shared" si="26"/>
        <v>51.968503937007867</v>
      </c>
      <c r="I313" s="25">
        <v>3110</v>
      </c>
      <c r="J313" s="26">
        <f t="shared" si="27"/>
        <v>6.6000000000000014</v>
      </c>
      <c r="K313" s="21">
        <f t="shared" si="28"/>
        <v>31.404780000000002</v>
      </c>
      <c r="L313" s="38">
        <v>1.75</v>
      </c>
      <c r="M313" s="30">
        <v>5</v>
      </c>
      <c r="N313" s="28">
        <f t="shared" si="29"/>
        <v>5.2809560000000006</v>
      </c>
      <c r="O313" s="39">
        <f t="shared" si="30"/>
        <v>38.435736000000006</v>
      </c>
    </row>
    <row r="314" spans="1:15" s="3" customFormat="1" x14ac:dyDescent="0.3">
      <c r="A314" s="34"/>
      <c r="B314" s="34"/>
      <c r="C314" s="34"/>
      <c r="D314" s="34"/>
      <c r="E314" s="34"/>
      <c r="F314" s="34"/>
      <c r="G314" s="34" t="s">
        <v>8</v>
      </c>
      <c r="H314" s="34">
        <f>AVERAGE(H302:H313)</f>
        <v>50.578872679886501</v>
      </c>
      <c r="I314" s="34"/>
      <c r="J314" s="34"/>
      <c r="K314" s="34">
        <f>AVERAGE(K302:K313)</f>
        <v>31.791449249999999</v>
      </c>
      <c r="L314" s="34"/>
      <c r="M314" s="34"/>
      <c r="N314" s="34">
        <f>AVERAGE(N302:N313)</f>
        <v>5.3582898500000011</v>
      </c>
      <c r="O314" s="34">
        <f>AVERAGE(O302:O313)</f>
        <v>38.899739099999998</v>
      </c>
    </row>
    <row r="315" spans="1:15" x14ac:dyDescent="0.3">
      <c r="A315" s="19">
        <v>44586</v>
      </c>
      <c r="B315" s="20">
        <v>0.27083333333333331</v>
      </c>
      <c r="C315" s="21">
        <v>38</v>
      </c>
      <c r="D315" s="33">
        <v>31.4</v>
      </c>
      <c r="E315" s="7">
        <v>26</v>
      </c>
      <c r="F315" s="11">
        <f t="shared" si="25"/>
        <v>6.6000000000000014</v>
      </c>
      <c r="G315" s="23">
        <f t="shared" si="25"/>
        <v>5.3999999999999986</v>
      </c>
      <c r="H315" s="24">
        <f t="shared" si="26"/>
        <v>55.000000000000014</v>
      </c>
      <c r="I315" s="25">
        <v>3171</v>
      </c>
      <c r="J315" s="26">
        <f t="shared" si="27"/>
        <v>6.6000000000000014</v>
      </c>
      <c r="K315" s="21">
        <f t="shared" si="28"/>
        <v>32.020758000000001</v>
      </c>
      <c r="L315" s="38">
        <v>1.75</v>
      </c>
      <c r="M315" s="30">
        <v>5</v>
      </c>
      <c r="N315" s="28">
        <f t="shared" si="29"/>
        <v>5.4041516000000005</v>
      </c>
      <c r="O315" s="39">
        <f t="shared" si="30"/>
        <v>39.174909599999999</v>
      </c>
    </row>
    <row r="316" spans="1:15" x14ac:dyDescent="0.3">
      <c r="A316" s="31"/>
      <c r="B316" s="20">
        <v>0.35416666666666669</v>
      </c>
      <c r="C316" s="21">
        <v>38</v>
      </c>
      <c r="D316" s="33">
        <v>31.6</v>
      </c>
      <c r="E316" s="7">
        <v>26</v>
      </c>
      <c r="F316" s="11">
        <f t="shared" si="25"/>
        <v>6.3999999999999986</v>
      </c>
      <c r="G316" s="23">
        <f t="shared" si="25"/>
        <v>5.6000000000000014</v>
      </c>
      <c r="H316" s="24">
        <f t="shared" si="26"/>
        <v>53.333333333333321</v>
      </c>
      <c r="I316" s="25">
        <v>3078</v>
      </c>
      <c r="J316" s="26">
        <f t="shared" si="27"/>
        <v>6.3999999999999986</v>
      </c>
      <c r="K316" s="21">
        <f t="shared" si="28"/>
        <v>30.139775999999994</v>
      </c>
      <c r="L316" s="38">
        <v>1.75</v>
      </c>
      <c r="M316" s="30">
        <v>5</v>
      </c>
      <c r="N316" s="28">
        <f t="shared" si="29"/>
        <v>5.0279551999999992</v>
      </c>
      <c r="O316" s="39">
        <f t="shared" si="30"/>
        <v>36.917731199999992</v>
      </c>
    </row>
    <row r="317" spans="1:15" x14ac:dyDescent="0.3">
      <c r="A317" s="31"/>
      <c r="B317" s="20">
        <v>0.4375</v>
      </c>
      <c r="C317" s="21">
        <v>38.5</v>
      </c>
      <c r="D317" s="33">
        <v>32</v>
      </c>
      <c r="E317" s="7">
        <v>26</v>
      </c>
      <c r="F317" s="11">
        <f t="shared" si="25"/>
        <v>6.5</v>
      </c>
      <c r="G317" s="23">
        <f t="shared" si="25"/>
        <v>6</v>
      </c>
      <c r="H317" s="24">
        <f t="shared" si="26"/>
        <v>52</v>
      </c>
      <c r="I317" s="25">
        <v>3198</v>
      </c>
      <c r="J317" s="26">
        <f t="shared" si="27"/>
        <v>6.5</v>
      </c>
      <c r="K317" s="21">
        <f t="shared" si="28"/>
        <v>31.804109999999994</v>
      </c>
      <c r="L317" s="38">
        <v>1.75</v>
      </c>
      <c r="M317" s="30">
        <v>5</v>
      </c>
      <c r="N317" s="28">
        <f t="shared" si="29"/>
        <v>5.3608219999999989</v>
      </c>
      <c r="O317" s="39">
        <f t="shared" si="30"/>
        <v>38.914931999999993</v>
      </c>
    </row>
    <row r="318" spans="1:15" x14ac:dyDescent="0.3">
      <c r="A318" s="31"/>
      <c r="B318" s="20">
        <v>0.52083333333333337</v>
      </c>
      <c r="C318" s="21">
        <v>39.700000000000003</v>
      </c>
      <c r="D318" s="33">
        <v>33</v>
      </c>
      <c r="E318" s="7">
        <v>26</v>
      </c>
      <c r="F318" s="11">
        <f t="shared" si="25"/>
        <v>6.7000000000000028</v>
      </c>
      <c r="G318" s="23">
        <f t="shared" si="25"/>
        <v>7</v>
      </c>
      <c r="H318" s="24">
        <f t="shared" si="26"/>
        <v>48.905109489051107</v>
      </c>
      <c r="I318" s="25">
        <v>3276</v>
      </c>
      <c r="J318" s="26">
        <f t="shared" si="27"/>
        <v>6.7000000000000028</v>
      </c>
      <c r="K318" s="21">
        <f t="shared" si="28"/>
        <v>33.582276000000014</v>
      </c>
      <c r="L318" s="38">
        <v>1.75</v>
      </c>
      <c r="M318" s="30">
        <v>5</v>
      </c>
      <c r="N318" s="28">
        <f t="shared" si="29"/>
        <v>5.7164552000000031</v>
      </c>
      <c r="O318" s="39">
        <f t="shared" si="30"/>
        <v>41.04873120000002</v>
      </c>
    </row>
    <row r="319" spans="1:15" x14ac:dyDescent="0.3">
      <c r="A319" s="31"/>
      <c r="B319" s="20">
        <v>0.60416666666666663</v>
      </c>
      <c r="C319" s="21">
        <v>39.4</v>
      </c>
      <c r="D319" s="33">
        <v>33</v>
      </c>
      <c r="E319" s="7">
        <v>26</v>
      </c>
      <c r="F319" s="11">
        <f t="shared" si="25"/>
        <v>6.3999999999999986</v>
      </c>
      <c r="G319" s="23">
        <f t="shared" si="25"/>
        <v>7</v>
      </c>
      <c r="H319" s="24">
        <f t="shared" si="26"/>
        <v>47.761194029850742</v>
      </c>
      <c r="I319" s="25">
        <v>3148</v>
      </c>
      <c r="J319" s="26">
        <f t="shared" si="27"/>
        <v>6.3999999999999986</v>
      </c>
      <c r="K319" s="21">
        <f t="shared" si="28"/>
        <v>30.825215999999994</v>
      </c>
      <c r="L319" s="38">
        <v>1.75</v>
      </c>
      <c r="M319" s="30">
        <v>5</v>
      </c>
      <c r="N319" s="28">
        <f t="shared" si="29"/>
        <v>5.1650431999999986</v>
      </c>
      <c r="O319" s="39">
        <f t="shared" si="30"/>
        <v>37.740259199999997</v>
      </c>
    </row>
    <row r="320" spans="1:15" x14ac:dyDescent="0.3">
      <c r="A320" s="31"/>
      <c r="B320" s="20">
        <v>0.6875</v>
      </c>
      <c r="C320" s="21">
        <v>39</v>
      </c>
      <c r="D320" s="33">
        <v>32.700000000000003</v>
      </c>
      <c r="E320" s="7">
        <v>26</v>
      </c>
      <c r="F320" s="11">
        <f t="shared" si="25"/>
        <v>6.2999999999999972</v>
      </c>
      <c r="G320" s="23">
        <f t="shared" si="25"/>
        <v>6.7000000000000028</v>
      </c>
      <c r="H320" s="24">
        <f t="shared" si="26"/>
        <v>48.461538461538439</v>
      </c>
      <c r="I320" s="25">
        <v>3186</v>
      </c>
      <c r="J320" s="26">
        <f t="shared" si="27"/>
        <v>6.2999999999999972</v>
      </c>
      <c r="K320" s="21">
        <f t="shared" si="28"/>
        <v>30.709853999999986</v>
      </c>
      <c r="L320" s="38">
        <v>1.75</v>
      </c>
      <c r="M320" s="30">
        <v>5</v>
      </c>
      <c r="N320" s="28">
        <f t="shared" si="29"/>
        <v>5.1419707999999975</v>
      </c>
      <c r="O320" s="39">
        <f t="shared" si="30"/>
        <v>37.601824799999982</v>
      </c>
    </row>
    <row r="321" spans="1:15" x14ac:dyDescent="0.3">
      <c r="A321" s="31"/>
      <c r="B321" s="20">
        <v>0.77083333333333337</v>
      </c>
      <c r="C321" s="21">
        <v>39.1</v>
      </c>
      <c r="D321" s="33">
        <v>32.6</v>
      </c>
      <c r="E321" s="7">
        <v>26</v>
      </c>
      <c r="F321" s="11">
        <f t="shared" si="25"/>
        <v>6.5</v>
      </c>
      <c r="G321" s="23">
        <f t="shared" si="25"/>
        <v>6.6000000000000014</v>
      </c>
      <c r="H321" s="24">
        <f t="shared" si="26"/>
        <v>49.618320610687014</v>
      </c>
      <c r="I321" s="25">
        <v>3162</v>
      </c>
      <c r="J321" s="26">
        <f t="shared" si="27"/>
        <v>6.5</v>
      </c>
      <c r="K321" s="21">
        <f t="shared" si="28"/>
        <v>31.446090000000002</v>
      </c>
      <c r="L321" s="38">
        <v>1.75</v>
      </c>
      <c r="M321" s="30">
        <v>5</v>
      </c>
      <c r="N321" s="28">
        <f t="shared" si="29"/>
        <v>5.289218</v>
      </c>
      <c r="O321" s="39">
        <f t="shared" si="30"/>
        <v>38.485307999999996</v>
      </c>
    </row>
    <row r="322" spans="1:15" x14ac:dyDescent="0.3">
      <c r="A322" s="31"/>
      <c r="B322" s="20">
        <v>0.85416666666666663</v>
      </c>
      <c r="C322" s="21">
        <v>39.299999999999997</v>
      </c>
      <c r="D322" s="33">
        <v>32.799999999999997</v>
      </c>
      <c r="E322" s="7">
        <v>26</v>
      </c>
      <c r="F322" s="11">
        <f t="shared" si="25"/>
        <v>6.5</v>
      </c>
      <c r="G322" s="23">
        <f t="shared" si="25"/>
        <v>6.7999999999999972</v>
      </c>
      <c r="H322" s="24">
        <f t="shared" si="26"/>
        <v>48.872180451127825</v>
      </c>
      <c r="I322" s="25">
        <v>3139</v>
      </c>
      <c r="J322" s="26">
        <f t="shared" si="27"/>
        <v>6.5</v>
      </c>
      <c r="K322" s="21">
        <f t="shared" si="28"/>
        <v>31.217355000000001</v>
      </c>
      <c r="L322" s="38">
        <v>1.75</v>
      </c>
      <c r="M322" s="30">
        <v>5</v>
      </c>
      <c r="N322" s="28">
        <f t="shared" si="29"/>
        <v>5.2434710000000004</v>
      </c>
      <c r="O322" s="39">
        <f t="shared" si="30"/>
        <v>38.210825999999997</v>
      </c>
    </row>
    <row r="323" spans="1:15" x14ac:dyDescent="0.3">
      <c r="A323" s="31"/>
      <c r="B323" s="20">
        <v>0.9375</v>
      </c>
      <c r="C323" s="21">
        <v>38.799999999999997</v>
      </c>
      <c r="D323" s="33">
        <v>32.299999999999997</v>
      </c>
      <c r="E323" s="7">
        <v>26</v>
      </c>
      <c r="F323" s="11">
        <f t="shared" si="25"/>
        <v>6.5</v>
      </c>
      <c r="G323" s="23">
        <f t="shared" si="25"/>
        <v>6.2999999999999972</v>
      </c>
      <c r="H323" s="24">
        <f t="shared" si="26"/>
        <v>50.781250000000014</v>
      </c>
      <c r="I323" s="25">
        <v>3049</v>
      </c>
      <c r="J323" s="26">
        <f t="shared" si="27"/>
        <v>6.5</v>
      </c>
      <c r="K323" s="21">
        <f t="shared" si="28"/>
        <v>30.322304999999997</v>
      </c>
      <c r="L323" s="38">
        <v>1.75</v>
      </c>
      <c r="M323" s="30">
        <v>5</v>
      </c>
      <c r="N323" s="28">
        <f t="shared" si="29"/>
        <v>5.0644609999999997</v>
      </c>
      <c r="O323" s="39">
        <f t="shared" si="30"/>
        <v>37.136766000000001</v>
      </c>
    </row>
    <row r="324" spans="1:15" x14ac:dyDescent="0.3">
      <c r="A324" s="31"/>
      <c r="B324" s="20">
        <v>2.0833333333333332E-2</v>
      </c>
      <c r="C324" s="21">
        <v>39.1</v>
      </c>
      <c r="D324" s="33">
        <v>32.5</v>
      </c>
      <c r="E324" s="7">
        <v>26</v>
      </c>
      <c r="F324" s="11">
        <f t="shared" ref="F324:G387" si="31">C324-D324</f>
        <v>6.6000000000000014</v>
      </c>
      <c r="G324" s="23">
        <f t="shared" si="31"/>
        <v>6.5</v>
      </c>
      <c r="H324" s="24">
        <f t="shared" ref="H324:H387" si="32">(F324/(F324+G324))*100</f>
        <v>50.381679389312986</v>
      </c>
      <c r="I324" s="25">
        <v>3102</v>
      </c>
      <c r="J324" s="26">
        <f t="shared" ref="J324:J387" si="33">C324-D324</f>
        <v>6.6000000000000014</v>
      </c>
      <c r="K324" s="21">
        <f t="shared" ref="K324:K387" si="34">0.00085*1.8*I324*J324</f>
        <v>31.323996000000005</v>
      </c>
      <c r="L324" s="38">
        <v>1.75</v>
      </c>
      <c r="M324" s="30">
        <v>5</v>
      </c>
      <c r="N324" s="28">
        <f t="shared" ref="N324:N387" si="35">K324/M324-1</f>
        <v>5.2647992000000006</v>
      </c>
      <c r="O324" s="39">
        <f t="shared" ref="O324:O387" si="36">K324+L324+N324</f>
        <v>38.338795200000007</v>
      </c>
    </row>
    <row r="325" spans="1:15" x14ac:dyDescent="0.3">
      <c r="A325" s="31"/>
      <c r="B325" s="20">
        <v>0.10416666666666667</v>
      </c>
      <c r="C325" s="21">
        <v>39.1</v>
      </c>
      <c r="D325" s="33">
        <v>32.4</v>
      </c>
      <c r="E325" s="7">
        <v>26</v>
      </c>
      <c r="F325" s="11">
        <f t="shared" si="31"/>
        <v>6.7000000000000028</v>
      </c>
      <c r="G325" s="23">
        <f t="shared" si="31"/>
        <v>6.3999999999999986</v>
      </c>
      <c r="H325" s="24">
        <f t="shared" si="32"/>
        <v>51.145038167938949</v>
      </c>
      <c r="I325" s="25">
        <v>3073</v>
      </c>
      <c r="J325" s="26">
        <f t="shared" si="33"/>
        <v>6.7000000000000028</v>
      </c>
      <c r="K325" s="21">
        <f t="shared" si="34"/>
        <v>31.50132300000001</v>
      </c>
      <c r="L325" s="38">
        <v>1.75</v>
      </c>
      <c r="M325" s="30">
        <v>5</v>
      </c>
      <c r="N325" s="28">
        <f t="shared" si="35"/>
        <v>5.300264600000002</v>
      </c>
      <c r="O325" s="39">
        <f t="shared" si="36"/>
        <v>38.551587600000019</v>
      </c>
    </row>
    <row r="326" spans="1:15" x14ac:dyDescent="0.3">
      <c r="A326" s="31"/>
      <c r="B326" s="20">
        <v>0.1875</v>
      </c>
      <c r="C326" s="21">
        <v>38.6</v>
      </c>
      <c r="D326" s="33">
        <v>32</v>
      </c>
      <c r="E326" s="7">
        <v>26</v>
      </c>
      <c r="F326" s="11">
        <f t="shared" si="31"/>
        <v>6.6000000000000014</v>
      </c>
      <c r="G326" s="23">
        <f t="shared" si="31"/>
        <v>6</v>
      </c>
      <c r="H326" s="24">
        <f t="shared" si="32"/>
        <v>52.380952380952387</v>
      </c>
      <c r="I326" s="25">
        <v>3157</v>
      </c>
      <c r="J326" s="26">
        <f t="shared" si="33"/>
        <v>6.6000000000000014</v>
      </c>
      <c r="K326" s="21">
        <f t="shared" si="34"/>
        <v>31.879386</v>
      </c>
      <c r="L326" s="38">
        <v>1.75</v>
      </c>
      <c r="M326" s="30">
        <v>5</v>
      </c>
      <c r="N326" s="28">
        <f t="shared" si="35"/>
        <v>5.3758771999999997</v>
      </c>
      <c r="O326" s="39">
        <f t="shared" si="36"/>
        <v>39.005263199999995</v>
      </c>
    </row>
    <row r="327" spans="1:15" s="3" customFormat="1" x14ac:dyDescent="0.3">
      <c r="A327" s="34"/>
      <c r="B327" s="34"/>
      <c r="C327" s="34"/>
      <c r="D327" s="34"/>
      <c r="E327" s="34"/>
      <c r="F327" s="34"/>
      <c r="G327" s="34" t="s">
        <v>8</v>
      </c>
      <c r="H327" s="34">
        <f>AVERAGE(H315:H326)</f>
        <v>50.720049692816069</v>
      </c>
      <c r="I327" s="34"/>
      <c r="J327" s="34"/>
      <c r="K327" s="34">
        <f>AVERAGE(K315:K326)</f>
        <v>31.397703750000002</v>
      </c>
      <c r="L327" s="34"/>
      <c r="M327" s="34"/>
      <c r="N327" s="34">
        <f>AVERAGE(N315:N326)</f>
        <v>5.2795407499999998</v>
      </c>
      <c r="O327" s="34">
        <f>AVERAGE(O315:O326)</f>
        <v>38.4272445</v>
      </c>
    </row>
    <row r="328" spans="1:15" x14ac:dyDescent="0.3">
      <c r="A328" s="19">
        <v>44587</v>
      </c>
      <c r="B328" s="20">
        <v>0.27083333333333331</v>
      </c>
      <c r="C328" s="21">
        <v>39</v>
      </c>
      <c r="D328" s="33">
        <v>32.1</v>
      </c>
      <c r="E328" s="7">
        <v>26</v>
      </c>
      <c r="F328" s="11">
        <f t="shared" si="31"/>
        <v>6.8999999999999986</v>
      </c>
      <c r="G328" s="23">
        <f t="shared" si="31"/>
        <v>6.1000000000000014</v>
      </c>
      <c r="H328" s="24">
        <f t="shared" si="32"/>
        <v>53.076923076923066</v>
      </c>
      <c r="I328" s="25">
        <v>3113</v>
      </c>
      <c r="J328" s="26">
        <f t="shared" si="33"/>
        <v>6.8999999999999986</v>
      </c>
      <c r="K328" s="21">
        <f t="shared" si="34"/>
        <v>32.86394099999999</v>
      </c>
      <c r="L328" s="38">
        <v>1.75</v>
      </c>
      <c r="M328" s="30">
        <v>5</v>
      </c>
      <c r="N328" s="28">
        <f t="shared" si="35"/>
        <v>5.572788199999998</v>
      </c>
      <c r="O328" s="39">
        <f t="shared" si="36"/>
        <v>40.186729199999988</v>
      </c>
    </row>
    <row r="329" spans="1:15" x14ac:dyDescent="0.3">
      <c r="A329" s="19"/>
      <c r="B329" s="20">
        <v>0.35416666666666669</v>
      </c>
      <c r="C329" s="21">
        <v>38.799999999999997</v>
      </c>
      <c r="D329" s="33">
        <v>32.1</v>
      </c>
      <c r="E329" s="7">
        <v>26</v>
      </c>
      <c r="F329" s="11">
        <f t="shared" si="31"/>
        <v>6.6999999999999957</v>
      </c>
      <c r="G329" s="23">
        <f t="shared" si="31"/>
        <v>6.1000000000000014</v>
      </c>
      <c r="H329" s="24">
        <f t="shared" si="32"/>
        <v>52.343749999999979</v>
      </c>
      <c r="I329" s="25">
        <v>3090</v>
      </c>
      <c r="J329" s="26">
        <f t="shared" si="33"/>
        <v>6.6999999999999957</v>
      </c>
      <c r="K329" s="21">
        <f t="shared" si="34"/>
        <v>31.675589999999978</v>
      </c>
      <c r="L329" s="38">
        <v>1.75</v>
      </c>
      <c r="M329" s="30">
        <v>5</v>
      </c>
      <c r="N329" s="28">
        <f t="shared" si="35"/>
        <v>5.335117999999996</v>
      </c>
      <c r="O329" s="39">
        <f t="shared" si="36"/>
        <v>38.760707999999973</v>
      </c>
    </row>
    <row r="330" spans="1:15" x14ac:dyDescent="0.3">
      <c r="A330" s="19"/>
      <c r="B330" s="20">
        <v>0.4375</v>
      </c>
      <c r="C330" s="21">
        <v>39.4</v>
      </c>
      <c r="D330" s="33">
        <v>32.6</v>
      </c>
      <c r="E330" s="7">
        <v>26</v>
      </c>
      <c r="F330" s="11">
        <f t="shared" si="31"/>
        <v>6.7999999999999972</v>
      </c>
      <c r="G330" s="23">
        <f t="shared" si="31"/>
        <v>6.6000000000000014</v>
      </c>
      <c r="H330" s="24">
        <f t="shared" si="32"/>
        <v>50.746268656716396</v>
      </c>
      <c r="I330" s="25">
        <v>3179</v>
      </c>
      <c r="J330" s="26">
        <f t="shared" si="33"/>
        <v>6.7999999999999972</v>
      </c>
      <c r="K330" s="21">
        <f t="shared" si="34"/>
        <v>33.074315999999982</v>
      </c>
      <c r="L330" s="38">
        <v>1.75</v>
      </c>
      <c r="M330" s="30">
        <v>5</v>
      </c>
      <c r="N330" s="28">
        <f t="shared" si="35"/>
        <v>5.6148631999999967</v>
      </c>
      <c r="O330" s="39">
        <f t="shared" si="36"/>
        <v>40.439179199999977</v>
      </c>
    </row>
    <row r="331" spans="1:15" x14ac:dyDescent="0.3">
      <c r="A331" s="19"/>
      <c r="B331" s="20">
        <v>0.52083333333333337</v>
      </c>
      <c r="C331" s="21">
        <v>40</v>
      </c>
      <c r="D331" s="33">
        <v>33.200000000000003</v>
      </c>
      <c r="E331" s="7">
        <v>26</v>
      </c>
      <c r="F331" s="11">
        <f t="shared" si="31"/>
        <v>6.7999999999999972</v>
      </c>
      <c r="G331" s="23">
        <f t="shared" si="31"/>
        <v>7.2000000000000028</v>
      </c>
      <c r="H331" s="24">
        <f t="shared" si="32"/>
        <v>48.571428571428548</v>
      </c>
      <c r="I331" s="25">
        <v>3161</v>
      </c>
      <c r="J331" s="26">
        <f t="shared" si="33"/>
        <v>6.7999999999999972</v>
      </c>
      <c r="K331" s="21">
        <f t="shared" si="34"/>
        <v>32.887043999999982</v>
      </c>
      <c r="L331" s="38">
        <v>1.75</v>
      </c>
      <c r="M331" s="30">
        <v>5</v>
      </c>
      <c r="N331" s="28">
        <f t="shared" si="35"/>
        <v>5.5774087999999962</v>
      </c>
      <c r="O331" s="39">
        <f t="shared" si="36"/>
        <v>40.214452799999975</v>
      </c>
    </row>
    <row r="332" spans="1:15" x14ac:dyDescent="0.3">
      <c r="A332" s="19"/>
      <c r="B332" s="20">
        <v>0.60416666666666663</v>
      </c>
      <c r="C332" s="21">
        <v>40.1</v>
      </c>
      <c r="D332" s="33">
        <v>33</v>
      </c>
      <c r="E332" s="7">
        <v>26</v>
      </c>
      <c r="F332" s="11">
        <f t="shared" si="31"/>
        <v>7.1000000000000014</v>
      </c>
      <c r="G332" s="23">
        <f t="shared" si="31"/>
        <v>7</v>
      </c>
      <c r="H332" s="24">
        <f t="shared" si="32"/>
        <v>50.354609929078023</v>
      </c>
      <c r="I332" s="25">
        <v>3111</v>
      </c>
      <c r="J332" s="26">
        <f t="shared" si="33"/>
        <v>7.1000000000000014</v>
      </c>
      <c r="K332" s="21">
        <f t="shared" si="34"/>
        <v>33.794793000000006</v>
      </c>
      <c r="L332" s="38">
        <v>1.75</v>
      </c>
      <c r="M332" s="30">
        <v>5</v>
      </c>
      <c r="N332" s="28">
        <f t="shared" si="35"/>
        <v>5.7589586000000015</v>
      </c>
      <c r="O332" s="39">
        <f t="shared" si="36"/>
        <v>41.303751600000005</v>
      </c>
    </row>
    <row r="333" spans="1:15" x14ac:dyDescent="0.3">
      <c r="A333" s="19"/>
      <c r="B333" s="20">
        <v>0.6875</v>
      </c>
      <c r="C333" s="21">
        <v>40.1</v>
      </c>
      <c r="D333" s="33">
        <v>33</v>
      </c>
      <c r="E333" s="7">
        <v>26</v>
      </c>
      <c r="F333" s="11">
        <f t="shared" si="31"/>
        <v>7.1000000000000014</v>
      </c>
      <c r="G333" s="23">
        <f t="shared" si="31"/>
        <v>7</v>
      </c>
      <c r="H333" s="24">
        <f t="shared" si="32"/>
        <v>50.354609929078023</v>
      </c>
      <c r="I333" s="25">
        <v>3116</v>
      </c>
      <c r="J333" s="26">
        <f t="shared" si="33"/>
        <v>7.1000000000000014</v>
      </c>
      <c r="K333" s="21">
        <f t="shared" si="34"/>
        <v>33.849108000000008</v>
      </c>
      <c r="L333" s="38">
        <v>1.75</v>
      </c>
      <c r="M333" s="30">
        <v>5</v>
      </c>
      <c r="N333" s="28">
        <f t="shared" si="35"/>
        <v>5.769821600000002</v>
      </c>
      <c r="O333" s="39">
        <f t="shared" si="36"/>
        <v>41.368929600000008</v>
      </c>
    </row>
    <row r="334" spans="1:15" x14ac:dyDescent="0.3">
      <c r="A334" s="19"/>
      <c r="B334" s="20">
        <v>0.77083333333333337</v>
      </c>
      <c r="C334" s="21">
        <v>40.1</v>
      </c>
      <c r="D334" s="33">
        <v>33</v>
      </c>
      <c r="E334" s="7">
        <v>26</v>
      </c>
      <c r="F334" s="11">
        <f t="shared" si="31"/>
        <v>7.1000000000000014</v>
      </c>
      <c r="G334" s="23">
        <f t="shared" si="31"/>
        <v>7</v>
      </c>
      <c r="H334" s="24">
        <f t="shared" si="32"/>
        <v>50.354609929078023</v>
      </c>
      <c r="I334" s="25">
        <v>30914</v>
      </c>
      <c r="J334" s="26">
        <f t="shared" si="33"/>
        <v>7.1000000000000014</v>
      </c>
      <c r="K334" s="21">
        <f t="shared" si="34"/>
        <v>335.81878200000006</v>
      </c>
      <c r="L334" s="38">
        <v>1.75</v>
      </c>
      <c r="M334" s="30">
        <v>5</v>
      </c>
      <c r="N334" s="28">
        <f t="shared" si="35"/>
        <v>66.163756400000011</v>
      </c>
      <c r="O334" s="39">
        <f t="shared" si="36"/>
        <v>403.73253840000007</v>
      </c>
    </row>
    <row r="335" spans="1:15" x14ac:dyDescent="0.3">
      <c r="A335" s="19"/>
      <c r="B335" s="20">
        <v>0.85416666666666663</v>
      </c>
      <c r="C335" s="21">
        <v>40.1</v>
      </c>
      <c r="D335" s="33">
        <v>33</v>
      </c>
      <c r="E335" s="7">
        <v>26</v>
      </c>
      <c r="F335" s="11">
        <f t="shared" si="31"/>
        <v>7.1000000000000014</v>
      </c>
      <c r="G335" s="23">
        <f t="shared" si="31"/>
        <v>7</v>
      </c>
      <c r="H335" s="24">
        <f t="shared" si="32"/>
        <v>50.354609929078023</v>
      </c>
      <c r="I335" s="25">
        <v>3161</v>
      </c>
      <c r="J335" s="26">
        <f t="shared" si="33"/>
        <v>7.1000000000000014</v>
      </c>
      <c r="K335" s="21">
        <f t="shared" si="34"/>
        <v>34.337943000000003</v>
      </c>
      <c r="L335" s="38">
        <v>1.75</v>
      </c>
      <c r="M335" s="30">
        <v>5</v>
      </c>
      <c r="N335" s="28">
        <f t="shared" si="35"/>
        <v>5.8675886000000004</v>
      </c>
      <c r="O335" s="39">
        <f t="shared" si="36"/>
        <v>41.9555316</v>
      </c>
    </row>
    <row r="336" spans="1:15" x14ac:dyDescent="0.3">
      <c r="A336" s="19"/>
      <c r="B336" s="20">
        <v>0.9375</v>
      </c>
      <c r="C336" s="21">
        <v>40</v>
      </c>
      <c r="D336" s="33">
        <v>33.1</v>
      </c>
      <c r="E336" s="7">
        <v>26</v>
      </c>
      <c r="F336" s="11">
        <f t="shared" si="31"/>
        <v>6.8999999999999986</v>
      </c>
      <c r="G336" s="23">
        <f t="shared" si="31"/>
        <v>7.1000000000000014</v>
      </c>
      <c r="H336" s="24">
        <f t="shared" si="32"/>
        <v>49.285714285714278</v>
      </c>
      <c r="I336" s="25">
        <v>3113</v>
      </c>
      <c r="J336" s="26">
        <f t="shared" si="33"/>
        <v>6.8999999999999986</v>
      </c>
      <c r="K336" s="21">
        <f t="shared" si="34"/>
        <v>32.86394099999999</v>
      </c>
      <c r="L336" s="38">
        <v>1.75</v>
      </c>
      <c r="M336" s="30">
        <v>5</v>
      </c>
      <c r="N336" s="28">
        <f t="shared" si="35"/>
        <v>5.572788199999998</v>
      </c>
      <c r="O336" s="39">
        <f t="shared" si="36"/>
        <v>40.186729199999988</v>
      </c>
    </row>
    <row r="337" spans="1:15" x14ac:dyDescent="0.3">
      <c r="A337" s="19"/>
      <c r="B337" s="20">
        <v>2.0833333333333332E-2</v>
      </c>
      <c r="C337" s="21">
        <v>39.799999999999997</v>
      </c>
      <c r="D337" s="33">
        <v>32.799999999999997</v>
      </c>
      <c r="E337" s="7">
        <v>26</v>
      </c>
      <c r="F337" s="11">
        <f t="shared" si="31"/>
        <v>7</v>
      </c>
      <c r="G337" s="23">
        <f t="shared" si="31"/>
        <v>6.7999999999999972</v>
      </c>
      <c r="H337" s="24">
        <f t="shared" si="32"/>
        <v>50.724637681159436</v>
      </c>
      <c r="I337" s="25">
        <v>3166</v>
      </c>
      <c r="J337" s="26">
        <f t="shared" si="33"/>
        <v>7</v>
      </c>
      <c r="K337" s="21">
        <f t="shared" si="34"/>
        <v>33.907859999999992</v>
      </c>
      <c r="L337" s="38">
        <v>1.75</v>
      </c>
      <c r="M337" s="30">
        <v>5</v>
      </c>
      <c r="N337" s="28">
        <f t="shared" si="35"/>
        <v>5.7815719999999988</v>
      </c>
      <c r="O337" s="39">
        <f t="shared" si="36"/>
        <v>41.439431999999989</v>
      </c>
    </row>
    <row r="338" spans="1:15" x14ac:dyDescent="0.3">
      <c r="A338" s="19"/>
      <c r="B338" s="20">
        <v>0.10416666666666667</v>
      </c>
      <c r="C338" s="21">
        <v>32.700000000000003</v>
      </c>
      <c r="D338" s="33">
        <v>29.7</v>
      </c>
      <c r="E338" s="7">
        <v>26</v>
      </c>
      <c r="F338" s="11">
        <f t="shared" si="31"/>
        <v>3.0000000000000036</v>
      </c>
      <c r="G338" s="23">
        <f t="shared" si="31"/>
        <v>3.6999999999999993</v>
      </c>
      <c r="H338" s="24">
        <f t="shared" si="32"/>
        <v>44.77611940298511</v>
      </c>
      <c r="I338" s="25">
        <v>3175</v>
      </c>
      <c r="J338" s="26">
        <f t="shared" si="33"/>
        <v>3.0000000000000036</v>
      </c>
      <c r="K338" s="21">
        <f t="shared" si="34"/>
        <v>14.573250000000016</v>
      </c>
      <c r="L338" s="38">
        <v>1.75</v>
      </c>
      <c r="M338" s="30">
        <v>5</v>
      </c>
      <c r="N338" s="28">
        <f t="shared" si="35"/>
        <v>1.9146500000000031</v>
      </c>
      <c r="O338" s="39">
        <f t="shared" si="36"/>
        <v>18.237900000000018</v>
      </c>
    </row>
    <row r="339" spans="1:15" x14ac:dyDescent="0.3">
      <c r="A339" s="19"/>
      <c r="B339" s="20">
        <v>0.1875</v>
      </c>
      <c r="C339" s="21">
        <v>39.299999999999997</v>
      </c>
      <c r="D339" s="33">
        <v>32.299999999999997</v>
      </c>
      <c r="E339" s="7">
        <v>26</v>
      </c>
      <c r="F339" s="11">
        <f t="shared" si="31"/>
        <v>7</v>
      </c>
      <c r="G339" s="23">
        <f t="shared" si="31"/>
        <v>6.2999999999999972</v>
      </c>
      <c r="H339" s="24">
        <f t="shared" si="32"/>
        <v>52.631578947368432</v>
      </c>
      <c r="I339" s="25">
        <v>3157</v>
      </c>
      <c r="J339" s="26">
        <f t="shared" si="33"/>
        <v>7</v>
      </c>
      <c r="K339" s="21">
        <f t="shared" si="34"/>
        <v>33.811469999999993</v>
      </c>
      <c r="L339" s="38">
        <v>1.75</v>
      </c>
      <c r="M339" s="30">
        <v>5</v>
      </c>
      <c r="N339" s="28">
        <f t="shared" si="35"/>
        <v>5.7622939999999989</v>
      </c>
      <c r="O339" s="39">
        <f t="shared" si="36"/>
        <v>41.32376399999999</v>
      </c>
    </row>
    <row r="340" spans="1:15" s="3" customFormat="1" x14ac:dyDescent="0.3">
      <c r="A340" s="34"/>
      <c r="B340" s="34"/>
      <c r="C340" s="34"/>
      <c r="D340" s="34"/>
      <c r="E340" s="34"/>
      <c r="F340" s="34"/>
      <c r="G340" s="34" t="s">
        <v>8</v>
      </c>
      <c r="H340" s="34">
        <f>AVERAGE(H328:H339)</f>
        <v>50.297905028217286</v>
      </c>
      <c r="I340" s="34"/>
      <c r="J340" s="34"/>
      <c r="K340" s="34">
        <f>AVERAGE(K328:K339)</f>
        <v>56.954836499999999</v>
      </c>
      <c r="L340" s="34"/>
      <c r="M340" s="34"/>
      <c r="N340" s="34">
        <f>AVERAGE(N328:N339)</f>
        <v>10.3909673</v>
      </c>
      <c r="O340" s="34">
        <f>AVERAGE(O328:O339)</f>
        <v>69.095803799999985</v>
      </c>
    </row>
    <row r="341" spans="1:15" x14ac:dyDescent="0.3">
      <c r="A341" s="19">
        <v>44588</v>
      </c>
      <c r="B341" s="20">
        <v>0.27083333333333331</v>
      </c>
      <c r="C341" s="21">
        <v>39</v>
      </c>
      <c r="D341" s="33">
        <v>32</v>
      </c>
      <c r="E341" s="7">
        <v>26</v>
      </c>
      <c r="F341" s="11">
        <f t="shared" si="31"/>
        <v>7</v>
      </c>
      <c r="G341" s="23">
        <f t="shared" si="31"/>
        <v>6</v>
      </c>
      <c r="H341" s="24">
        <f t="shared" si="32"/>
        <v>53.846153846153847</v>
      </c>
      <c r="I341" s="25">
        <v>3114</v>
      </c>
      <c r="J341" s="26">
        <f t="shared" si="33"/>
        <v>7</v>
      </c>
      <c r="K341" s="21">
        <f t="shared" si="34"/>
        <v>33.350939999999994</v>
      </c>
      <c r="L341" s="38">
        <v>1.75</v>
      </c>
      <c r="M341" s="30">
        <v>5</v>
      </c>
      <c r="N341" s="28">
        <f t="shared" si="35"/>
        <v>5.6701879999999987</v>
      </c>
      <c r="O341" s="39">
        <f t="shared" si="36"/>
        <v>40.77112799999999</v>
      </c>
    </row>
    <row r="342" spans="1:15" x14ac:dyDescent="0.3">
      <c r="A342" s="31"/>
      <c r="B342" s="20">
        <v>0.35416666666666669</v>
      </c>
      <c r="C342" s="21">
        <v>38.700000000000003</v>
      </c>
      <c r="D342" s="33">
        <v>31.8</v>
      </c>
      <c r="E342" s="7">
        <v>26</v>
      </c>
      <c r="F342" s="11">
        <f t="shared" si="31"/>
        <v>6.9000000000000021</v>
      </c>
      <c r="G342" s="23">
        <f t="shared" si="31"/>
        <v>5.8000000000000007</v>
      </c>
      <c r="H342" s="24">
        <f t="shared" si="32"/>
        <v>54.330708661417326</v>
      </c>
      <c r="I342" s="25">
        <v>3162</v>
      </c>
      <c r="J342" s="26">
        <f t="shared" si="33"/>
        <v>6.9000000000000021</v>
      </c>
      <c r="K342" s="21">
        <f t="shared" si="34"/>
        <v>33.381234000000013</v>
      </c>
      <c r="L342" s="38">
        <v>1.75</v>
      </c>
      <c r="M342" s="30">
        <v>5</v>
      </c>
      <c r="N342" s="28">
        <f t="shared" si="35"/>
        <v>5.676246800000003</v>
      </c>
      <c r="O342" s="39">
        <f t="shared" si="36"/>
        <v>40.807480800000015</v>
      </c>
    </row>
    <row r="343" spans="1:15" x14ac:dyDescent="0.3">
      <c r="A343" s="31"/>
      <c r="B343" s="20">
        <v>0.4375</v>
      </c>
      <c r="C343" s="21">
        <v>38.9</v>
      </c>
      <c r="D343" s="33">
        <v>31.9</v>
      </c>
      <c r="E343" s="7">
        <v>26</v>
      </c>
      <c r="F343" s="11">
        <f t="shared" si="31"/>
        <v>7</v>
      </c>
      <c r="G343" s="23">
        <f t="shared" si="31"/>
        <v>5.8999999999999986</v>
      </c>
      <c r="H343" s="24">
        <f t="shared" si="32"/>
        <v>54.263565891472879</v>
      </c>
      <c r="I343" s="25">
        <v>3090</v>
      </c>
      <c r="J343" s="26">
        <f t="shared" si="33"/>
        <v>7</v>
      </c>
      <c r="K343" s="21">
        <f t="shared" si="34"/>
        <v>33.093899999999998</v>
      </c>
      <c r="L343" s="38">
        <v>1.75</v>
      </c>
      <c r="M343" s="30">
        <v>5</v>
      </c>
      <c r="N343" s="28">
        <f t="shared" si="35"/>
        <v>5.6187799999999992</v>
      </c>
      <c r="O343" s="39">
        <f t="shared" si="36"/>
        <v>40.462679999999999</v>
      </c>
    </row>
    <row r="344" spans="1:15" x14ac:dyDescent="0.3">
      <c r="A344" s="31"/>
      <c r="B344" s="20">
        <v>0.52083333333333337</v>
      </c>
      <c r="C344" s="21">
        <v>39.6</v>
      </c>
      <c r="D344" s="33">
        <v>32.6</v>
      </c>
      <c r="E344" s="7">
        <v>26</v>
      </c>
      <c r="F344" s="11">
        <f t="shared" si="31"/>
        <v>7</v>
      </c>
      <c r="G344" s="23">
        <f t="shared" si="31"/>
        <v>6.6000000000000014</v>
      </c>
      <c r="H344" s="24">
        <f t="shared" si="32"/>
        <v>51.470588235294116</v>
      </c>
      <c r="I344" s="25">
        <v>3140</v>
      </c>
      <c r="J344" s="26">
        <f t="shared" si="33"/>
        <v>7</v>
      </c>
      <c r="K344" s="21">
        <f t="shared" si="34"/>
        <v>33.629399999999997</v>
      </c>
      <c r="L344" s="38">
        <v>1.75</v>
      </c>
      <c r="M344" s="30">
        <v>5</v>
      </c>
      <c r="N344" s="28">
        <f t="shared" si="35"/>
        <v>5.7258799999999992</v>
      </c>
      <c r="O344" s="39">
        <f t="shared" si="36"/>
        <v>41.105279999999993</v>
      </c>
    </row>
    <row r="345" spans="1:15" x14ac:dyDescent="0.3">
      <c r="A345" s="31"/>
      <c r="B345" s="20">
        <v>0.60416666666666663</v>
      </c>
      <c r="C345" s="21">
        <v>39.9</v>
      </c>
      <c r="D345" s="33">
        <v>32.9</v>
      </c>
      <c r="E345" s="7">
        <v>26</v>
      </c>
      <c r="F345" s="11">
        <f t="shared" si="31"/>
        <v>7</v>
      </c>
      <c r="G345" s="23">
        <f t="shared" si="31"/>
        <v>6.8999999999999986</v>
      </c>
      <c r="H345" s="24">
        <f t="shared" si="32"/>
        <v>50.359712230215834</v>
      </c>
      <c r="I345" s="25">
        <v>3180</v>
      </c>
      <c r="J345" s="26">
        <f t="shared" si="33"/>
        <v>7</v>
      </c>
      <c r="K345" s="21">
        <f t="shared" si="34"/>
        <v>34.057799999999993</v>
      </c>
      <c r="L345" s="38">
        <v>1.75</v>
      </c>
      <c r="M345" s="30">
        <v>5</v>
      </c>
      <c r="N345" s="28">
        <f t="shared" si="35"/>
        <v>5.8115599999999983</v>
      </c>
      <c r="O345" s="39">
        <f t="shared" si="36"/>
        <v>41.619359999999993</v>
      </c>
    </row>
    <row r="346" spans="1:15" x14ac:dyDescent="0.3">
      <c r="A346" s="31"/>
      <c r="B346" s="20">
        <v>0.6875</v>
      </c>
      <c r="C346" s="21">
        <v>39.700000000000003</v>
      </c>
      <c r="D346" s="33">
        <v>32.700000000000003</v>
      </c>
      <c r="E346" s="7">
        <v>26</v>
      </c>
      <c r="F346" s="11">
        <f t="shared" si="31"/>
        <v>7</v>
      </c>
      <c r="G346" s="23">
        <f t="shared" si="31"/>
        <v>6.7000000000000028</v>
      </c>
      <c r="H346" s="24">
        <f t="shared" si="32"/>
        <v>51.0948905109489</v>
      </c>
      <c r="I346" s="25">
        <v>3120</v>
      </c>
      <c r="J346" s="26">
        <f t="shared" si="33"/>
        <v>7</v>
      </c>
      <c r="K346" s="21">
        <f t="shared" si="34"/>
        <v>33.415199999999999</v>
      </c>
      <c r="L346" s="38">
        <v>1.75</v>
      </c>
      <c r="M346" s="30">
        <v>5</v>
      </c>
      <c r="N346" s="28">
        <f t="shared" si="35"/>
        <v>5.6830400000000001</v>
      </c>
      <c r="O346" s="39">
        <f t="shared" si="36"/>
        <v>40.848239999999997</v>
      </c>
    </row>
    <row r="347" spans="1:15" x14ac:dyDescent="0.3">
      <c r="A347" s="31"/>
      <c r="B347" s="20">
        <v>0.77083333333333337</v>
      </c>
      <c r="C347" s="21">
        <v>39.5</v>
      </c>
      <c r="D347" s="33">
        <v>32.700000000000003</v>
      </c>
      <c r="E347" s="7">
        <v>26</v>
      </c>
      <c r="F347" s="11">
        <f t="shared" si="31"/>
        <v>6.7999999999999972</v>
      </c>
      <c r="G347" s="23">
        <f t="shared" si="31"/>
        <v>6.7000000000000028</v>
      </c>
      <c r="H347" s="24">
        <f t="shared" si="32"/>
        <v>50.370370370370352</v>
      </c>
      <c r="I347" s="25">
        <v>3027</v>
      </c>
      <c r="J347" s="26">
        <f t="shared" si="33"/>
        <v>6.7999999999999972</v>
      </c>
      <c r="K347" s="21">
        <f t="shared" si="34"/>
        <v>31.492907999999986</v>
      </c>
      <c r="L347" s="38">
        <v>1.75</v>
      </c>
      <c r="M347" s="30">
        <v>5</v>
      </c>
      <c r="N347" s="28">
        <f t="shared" si="35"/>
        <v>5.2985815999999968</v>
      </c>
      <c r="O347" s="39">
        <f t="shared" si="36"/>
        <v>38.541489599999984</v>
      </c>
    </row>
    <row r="348" spans="1:15" x14ac:dyDescent="0.3">
      <c r="A348" s="31"/>
      <c r="B348" s="20">
        <v>0.85416666666666663</v>
      </c>
      <c r="C348" s="21">
        <v>39.5</v>
      </c>
      <c r="D348" s="33">
        <v>32.4</v>
      </c>
      <c r="E348" s="7">
        <v>26</v>
      </c>
      <c r="F348" s="11">
        <f t="shared" si="31"/>
        <v>7.1000000000000014</v>
      </c>
      <c r="G348" s="23">
        <f t="shared" si="31"/>
        <v>6.3999999999999986</v>
      </c>
      <c r="H348" s="24">
        <f t="shared" si="32"/>
        <v>52.592592592592602</v>
      </c>
      <c r="I348" s="25">
        <v>3045</v>
      </c>
      <c r="J348" s="26">
        <f t="shared" si="33"/>
        <v>7.1000000000000014</v>
      </c>
      <c r="K348" s="21">
        <f t="shared" si="34"/>
        <v>33.077835</v>
      </c>
      <c r="L348" s="38">
        <v>1.75</v>
      </c>
      <c r="M348" s="30">
        <v>5</v>
      </c>
      <c r="N348" s="28">
        <f t="shared" si="35"/>
        <v>5.6155670000000004</v>
      </c>
      <c r="O348" s="39">
        <f t="shared" si="36"/>
        <v>40.443401999999999</v>
      </c>
    </row>
    <row r="349" spans="1:15" x14ac:dyDescent="0.3">
      <c r="A349" s="31"/>
      <c r="B349" s="20">
        <v>0.9375</v>
      </c>
      <c r="C349" s="21">
        <v>38.299999999999997</v>
      </c>
      <c r="D349" s="33">
        <v>31.5</v>
      </c>
      <c r="E349" s="7">
        <v>26</v>
      </c>
      <c r="F349" s="11">
        <f t="shared" si="31"/>
        <v>6.7999999999999972</v>
      </c>
      <c r="G349" s="23">
        <f t="shared" si="31"/>
        <v>5.5</v>
      </c>
      <c r="H349" s="24">
        <f t="shared" si="32"/>
        <v>55.284552845528445</v>
      </c>
      <c r="I349" s="25">
        <v>3049</v>
      </c>
      <c r="J349" s="26">
        <f t="shared" si="33"/>
        <v>6.7999999999999972</v>
      </c>
      <c r="K349" s="21">
        <f t="shared" si="34"/>
        <v>31.721795999999983</v>
      </c>
      <c r="L349" s="38">
        <v>1.75</v>
      </c>
      <c r="M349" s="30">
        <v>5</v>
      </c>
      <c r="N349" s="28">
        <f t="shared" si="35"/>
        <v>5.3443591999999969</v>
      </c>
      <c r="O349" s="39">
        <f t="shared" si="36"/>
        <v>38.816155199999983</v>
      </c>
    </row>
    <row r="350" spans="1:15" x14ac:dyDescent="0.3">
      <c r="A350" s="31"/>
      <c r="B350" s="20">
        <v>2.0833333333333332E-2</v>
      </c>
      <c r="C350" s="21">
        <v>38.1</v>
      </c>
      <c r="D350" s="33">
        <v>31.2</v>
      </c>
      <c r="E350" s="7">
        <v>26</v>
      </c>
      <c r="F350" s="11">
        <f t="shared" si="31"/>
        <v>6.9000000000000021</v>
      </c>
      <c r="G350" s="23">
        <f t="shared" si="31"/>
        <v>5.1999999999999993</v>
      </c>
      <c r="H350" s="24">
        <f t="shared" si="32"/>
        <v>57.024793388429764</v>
      </c>
      <c r="I350" s="25">
        <v>3038</v>
      </c>
      <c r="J350" s="26">
        <f t="shared" si="33"/>
        <v>6.9000000000000021</v>
      </c>
      <c r="K350" s="21">
        <f t="shared" si="34"/>
        <v>32.07216600000001</v>
      </c>
      <c r="L350" s="38">
        <v>1.75</v>
      </c>
      <c r="M350" s="30">
        <v>5</v>
      </c>
      <c r="N350" s="28">
        <f t="shared" si="35"/>
        <v>5.4144332000000022</v>
      </c>
      <c r="O350" s="39">
        <f t="shared" si="36"/>
        <v>39.236599200000015</v>
      </c>
    </row>
    <row r="351" spans="1:15" x14ac:dyDescent="0.3">
      <c r="A351" s="31"/>
      <c r="B351" s="20">
        <v>0.10416666666666667</v>
      </c>
      <c r="C351" s="21">
        <v>37.5</v>
      </c>
      <c r="D351" s="33">
        <v>30.9</v>
      </c>
      <c r="E351" s="7">
        <v>26</v>
      </c>
      <c r="F351" s="11">
        <f t="shared" si="31"/>
        <v>6.6000000000000014</v>
      </c>
      <c r="G351" s="23">
        <f t="shared" si="31"/>
        <v>4.8999999999999986</v>
      </c>
      <c r="H351" s="24">
        <f t="shared" si="32"/>
        <v>57.3913043478261</v>
      </c>
      <c r="I351" s="25">
        <v>3056</v>
      </c>
      <c r="J351" s="26">
        <f t="shared" si="33"/>
        <v>6.6000000000000014</v>
      </c>
      <c r="K351" s="21">
        <f t="shared" si="34"/>
        <v>30.859488000000006</v>
      </c>
      <c r="L351" s="38">
        <v>1.75</v>
      </c>
      <c r="M351" s="30">
        <v>5</v>
      </c>
      <c r="N351" s="28">
        <f t="shared" si="35"/>
        <v>5.1718976000000012</v>
      </c>
      <c r="O351" s="39">
        <f t="shared" si="36"/>
        <v>37.781385600000007</v>
      </c>
    </row>
    <row r="352" spans="1:15" x14ac:dyDescent="0.3">
      <c r="A352" s="31"/>
      <c r="B352" s="20">
        <v>0.1875</v>
      </c>
      <c r="C352" s="21">
        <v>36.700000000000003</v>
      </c>
      <c r="D352" s="33">
        <v>30.2</v>
      </c>
      <c r="E352" s="7">
        <v>26</v>
      </c>
      <c r="F352" s="11">
        <f t="shared" si="31"/>
        <v>6.5000000000000036</v>
      </c>
      <c r="G352" s="23">
        <f t="shared" si="31"/>
        <v>4.1999999999999993</v>
      </c>
      <c r="H352" s="24">
        <f t="shared" si="32"/>
        <v>60.747663551401885</v>
      </c>
      <c r="I352" s="25">
        <v>3143</v>
      </c>
      <c r="J352" s="26">
        <f t="shared" si="33"/>
        <v>6.5000000000000036</v>
      </c>
      <c r="K352" s="21">
        <f t="shared" si="34"/>
        <v>31.257135000000012</v>
      </c>
      <c r="L352" s="38">
        <v>1.75</v>
      </c>
      <c r="M352" s="30">
        <v>5</v>
      </c>
      <c r="N352" s="28">
        <f t="shared" si="35"/>
        <v>5.2514270000000023</v>
      </c>
      <c r="O352" s="39">
        <f t="shared" si="36"/>
        <v>38.258562000000012</v>
      </c>
    </row>
    <row r="353" spans="1:15" s="3" customFormat="1" x14ac:dyDescent="0.3">
      <c r="A353" s="34"/>
      <c r="B353" s="34"/>
      <c r="C353" s="34"/>
      <c r="D353" s="34"/>
      <c r="E353" s="34"/>
      <c r="F353" s="34"/>
      <c r="G353" s="34" t="s">
        <v>8</v>
      </c>
      <c r="H353" s="34">
        <f>AVERAGE(H341:H352)</f>
        <v>54.064741372637663</v>
      </c>
      <c r="I353" s="34"/>
      <c r="J353" s="34"/>
      <c r="K353" s="34">
        <f>AVERAGE(K341:K352)</f>
        <v>32.617483499999999</v>
      </c>
      <c r="L353" s="34"/>
      <c r="M353" s="34"/>
      <c r="N353" s="34">
        <f>AVERAGE(N341:N352)</f>
        <v>5.5234966999999999</v>
      </c>
      <c r="O353" s="34">
        <f>AVERAGE(O341:O352)</f>
        <v>39.890980200000001</v>
      </c>
    </row>
    <row r="354" spans="1:15" x14ac:dyDescent="0.3">
      <c r="A354" s="19">
        <v>44589</v>
      </c>
      <c r="B354" s="20">
        <v>0.27083333333333331</v>
      </c>
      <c r="C354" s="21"/>
      <c r="D354" s="33"/>
      <c r="E354" s="7">
        <v>26</v>
      </c>
      <c r="F354" s="11">
        <f t="shared" si="31"/>
        <v>0</v>
      </c>
      <c r="G354" s="23">
        <f t="shared" si="31"/>
        <v>-26</v>
      </c>
      <c r="H354" s="24">
        <f t="shared" si="32"/>
        <v>0</v>
      </c>
      <c r="I354" s="25"/>
      <c r="J354" s="26">
        <f t="shared" si="33"/>
        <v>0</v>
      </c>
      <c r="K354" s="21">
        <f t="shared" si="34"/>
        <v>0</v>
      </c>
      <c r="L354" s="38">
        <v>1.75</v>
      </c>
      <c r="M354" s="30">
        <v>5</v>
      </c>
      <c r="N354" s="28">
        <f t="shared" si="35"/>
        <v>-1</v>
      </c>
      <c r="O354" s="39">
        <f t="shared" si="36"/>
        <v>0.75</v>
      </c>
    </row>
    <row r="355" spans="1:15" x14ac:dyDescent="0.3">
      <c r="A355" s="19"/>
      <c r="B355" s="20">
        <v>0.35416666666666669</v>
      </c>
      <c r="C355" s="21">
        <v>36.200000000000003</v>
      </c>
      <c r="D355" s="33">
        <v>29.6</v>
      </c>
      <c r="E355" s="7">
        <v>26</v>
      </c>
      <c r="F355" s="11">
        <f t="shared" si="31"/>
        <v>6.6000000000000014</v>
      </c>
      <c r="G355" s="23">
        <f t="shared" si="31"/>
        <v>3.6000000000000014</v>
      </c>
      <c r="H355" s="24">
        <f t="shared" si="32"/>
        <v>64.705882352941174</v>
      </c>
      <c r="I355" s="25">
        <v>3006</v>
      </c>
      <c r="J355" s="26">
        <f t="shared" si="33"/>
        <v>6.6000000000000014</v>
      </c>
      <c r="K355" s="21">
        <f t="shared" si="34"/>
        <v>30.354588000000003</v>
      </c>
      <c r="L355" s="38">
        <v>1.75</v>
      </c>
      <c r="M355" s="30">
        <v>5</v>
      </c>
      <c r="N355" s="28">
        <f t="shared" si="35"/>
        <v>5.0709176000000005</v>
      </c>
      <c r="O355" s="39">
        <f t="shared" si="36"/>
        <v>37.175505600000008</v>
      </c>
    </row>
    <row r="356" spans="1:15" x14ac:dyDescent="0.3">
      <c r="A356" s="19"/>
      <c r="B356" s="20">
        <v>0.4375</v>
      </c>
      <c r="C356" s="21">
        <v>37.200000000000003</v>
      </c>
      <c r="D356" s="33">
        <v>30.7</v>
      </c>
      <c r="E356" s="7">
        <v>26</v>
      </c>
      <c r="F356" s="11">
        <f t="shared" si="31"/>
        <v>6.5000000000000036</v>
      </c>
      <c r="G356" s="23">
        <f t="shared" si="31"/>
        <v>4.6999999999999993</v>
      </c>
      <c r="H356" s="24">
        <f t="shared" si="32"/>
        <v>58.035714285714299</v>
      </c>
      <c r="I356" s="25">
        <v>3156</v>
      </c>
      <c r="J356" s="26">
        <f t="shared" si="33"/>
        <v>6.5000000000000036</v>
      </c>
      <c r="K356" s="21">
        <f t="shared" si="34"/>
        <v>31.386420000000012</v>
      </c>
      <c r="L356" s="38">
        <v>1.75</v>
      </c>
      <c r="M356" s="30">
        <v>5</v>
      </c>
      <c r="N356" s="28">
        <f t="shared" si="35"/>
        <v>5.2772840000000025</v>
      </c>
      <c r="O356" s="39">
        <f t="shared" si="36"/>
        <v>38.413704000000017</v>
      </c>
    </row>
    <row r="357" spans="1:15" x14ac:dyDescent="0.3">
      <c r="A357" s="19"/>
      <c r="B357" s="20">
        <v>0.52083333333333337</v>
      </c>
      <c r="C357" s="21">
        <v>37</v>
      </c>
      <c r="D357" s="33">
        <v>30.5</v>
      </c>
      <c r="E357" s="7">
        <v>26</v>
      </c>
      <c r="F357" s="11">
        <f t="shared" si="31"/>
        <v>6.5</v>
      </c>
      <c r="G357" s="23">
        <f t="shared" si="31"/>
        <v>4.5</v>
      </c>
      <c r="H357" s="24">
        <f t="shared" si="32"/>
        <v>59.090909090909093</v>
      </c>
      <c r="I357" s="25">
        <v>2983</v>
      </c>
      <c r="J357" s="26">
        <f t="shared" si="33"/>
        <v>6.5</v>
      </c>
      <c r="K357" s="21">
        <f t="shared" si="34"/>
        <v>29.665934999999998</v>
      </c>
      <c r="L357" s="38">
        <v>1.75</v>
      </c>
      <c r="M357" s="30">
        <v>5</v>
      </c>
      <c r="N357" s="28">
        <f t="shared" si="35"/>
        <v>4.9331869999999993</v>
      </c>
      <c r="O357" s="39">
        <f t="shared" si="36"/>
        <v>36.349121999999994</v>
      </c>
    </row>
    <row r="358" spans="1:15" x14ac:dyDescent="0.3">
      <c r="A358" s="19"/>
      <c r="B358" s="20">
        <v>0.60416666666666663</v>
      </c>
      <c r="C358" s="21">
        <v>37.4</v>
      </c>
      <c r="D358" s="33">
        <v>30.8</v>
      </c>
      <c r="E358" s="7">
        <v>26</v>
      </c>
      <c r="F358" s="11">
        <f t="shared" si="31"/>
        <v>6.5999999999999979</v>
      </c>
      <c r="G358" s="23">
        <f t="shared" si="31"/>
        <v>4.8000000000000007</v>
      </c>
      <c r="H358" s="24">
        <f t="shared" si="32"/>
        <v>57.894736842105253</v>
      </c>
      <c r="I358" s="25">
        <v>3092</v>
      </c>
      <c r="J358" s="26">
        <f t="shared" si="33"/>
        <v>6.5999999999999979</v>
      </c>
      <c r="K358" s="21">
        <f t="shared" si="34"/>
        <v>31.223015999999991</v>
      </c>
      <c r="L358" s="38">
        <v>1.75</v>
      </c>
      <c r="M358" s="30">
        <v>5</v>
      </c>
      <c r="N358" s="28">
        <f t="shared" si="35"/>
        <v>5.2446031999999985</v>
      </c>
      <c r="O358" s="39">
        <f t="shared" si="36"/>
        <v>38.217619199999987</v>
      </c>
    </row>
    <row r="359" spans="1:15" x14ac:dyDescent="0.3">
      <c r="A359" s="19"/>
      <c r="B359" s="20">
        <v>0.6875</v>
      </c>
      <c r="C359" s="21">
        <v>37.9</v>
      </c>
      <c r="D359" s="33">
        <v>31.4</v>
      </c>
      <c r="E359" s="7">
        <v>26</v>
      </c>
      <c r="F359" s="11">
        <f t="shared" si="31"/>
        <v>6.5</v>
      </c>
      <c r="G359" s="23">
        <f t="shared" si="31"/>
        <v>5.3999999999999986</v>
      </c>
      <c r="H359" s="24">
        <f t="shared" si="32"/>
        <v>54.621848739495803</v>
      </c>
      <c r="I359" s="25">
        <v>3028</v>
      </c>
      <c r="J359" s="26">
        <f t="shared" si="33"/>
        <v>6.5</v>
      </c>
      <c r="K359" s="21">
        <f t="shared" si="34"/>
        <v>30.11346</v>
      </c>
      <c r="L359" s="38">
        <v>1.75</v>
      </c>
      <c r="M359" s="30">
        <v>5</v>
      </c>
      <c r="N359" s="28">
        <f t="shared" si="35"/>
        <v>5.0226920000000002</v>
      </c>
      <c r="O359" s="39">
        <f t="shared" si="36"/>
        <v>36.886152000000003</v>
      </c>
    </row>
    <row r="360" spans="1:15" x14ac:dyDescent="0.3">
      <c r="A360" s="19"/>
      <c r="B360" s="20">
        <v>0.77083333333333337</v>
      </c>
      <c r="C360" s="21">
        <v>36.5</v>
      </c>
      <c r="D360" s="33">
        <v>30.5</v>
      </c>
      <c r="E360" s="7">
        <v>26</v>
      </c>
      <c r="F360" s="11">
        <f t="shared" si="31"/>
        <v>6</v>
      </c>
      <c r="G360" s="23">
        <f t="shared" si="31"/>
        <v>4.5</v>
      </c>
      <c r="H360" s="24">
        <f t="shared" si="32"/>
        <v>57.142857142857139</v>
      </c>
      <c r="I360" s="25">
        <v>3061</v>
      </c>
      <c r="J360" s="26">
        <f t="shared" si="33"/>
        <v>6</v>
      </c>
      <c r="K360" s="21">
        <f t="shared" si="34"/>
        <v>28.099979999999999</v>
      </c>
      <c r="L360" s="38">
        <v>1.75</v>
      </c>
      <c r="M360" s="30">
        <v>5</v>
      </c>
      <c r="N360" s="28">
        <f t="shared" si="35"/>
        <v>4.6199959999999995</v>
      </c>
      <c r="O360" s="39">
        <f t="shared" si="36"/>
        <v>34.469975999999996</v>
      </c>
    </row>
    <row r="361" spans="1:15" x14ac:dyDescent="0.3">
      <c r="A361" s="19"/>
      <c r="B361" s="20">
        <v>0.85416666666666663</v>
      </c>
      <c r="C361" s="21">
        <v>37.9</v>
      </c>
      <c r="D361" s="33">
        <v>30.9</v>
      </c>
      <c r="E361" s="7">
        <v>26</v>
      </c>
      <c r="F361" s="11">
        <f t="shared" si="31"/>
        <v>7</v>
      </c>
      <c r="G361" s="23">
        <f t="shared" si="31"/>
        <v>4.8999999999999986</v>
      </c>
      <c r="H361" s="24">
        <f t="shared" si="32"/>
        <v>58.82352941176471</v>
      </c>
      <c r="I361" s="25">
        <v>3096</v>
      </c>
      <c r="J361" s="26">
        <f t="shared" si="33"/>
        <v>7</v>
      </c>
      <c r="K361" s="21">
        <f t="shared" si="34"/>
        <v>33.158159999999995</v>
      </c>
      <c r="L361" s="38">
        <v>1.75</v>
      </c>
      <c r="M361" s="30">
        <v>5</v>
      </c>
      <c r="N361" s="28">
        <f t="shared" si="35"/>
        <v>5.6316319999999989</v>
      </c>
      <c r="O361" s="39">
        <f t="shared" si="36"/>
        <v>40.539791999999991</v>
      </c>
    </row>
    <row r="362" spans="1:15" x14ac:dyDescent="0.3">
      <c r="A362" s="19"/>
      <c r="B362" s="20">
        <v>0.9375</v>
      </c>
      <c r="C362" s="21">
        <v>37.200000000000003</v>
      </c>
      <c r="D362" s="33">
        <v>30.6</v>
      </c>
      <c r="E362" s="7">
        <v>26</v>
      </c>
      <c r="F362" s="11">
        <f t="shared" si="31"/>
        <v>6.6000000000000014</v>
      </c>
      <c r="G362" s="23">
        <f t="shared" si="31"/>
        <v>4.6000000000000014</v>
      </c>
      <c r="H362" s="24">
        <f t="shared" si="32"/>
        <v>58.928571428571431</v>
      </c>
      <c r="I362" s="25">
        <v>3090</v>
      </c>
      <c r="J362" s="26">
        <f t="shared" si="33"/>
        <v>6.6000000000000014</v>
      </c>
      <c r="K362" s="21">
        <f t="shared" si="34"/>
        <v>31.202820000000003</v>
      </c>
      <c r="L362" s="38">
        <v>1.75</v>
      </c>
      <c r="M362" s="30">
        <v>5</v>
      </c>
      <c r="N362" s="28">
        <f t="shared" si="35"/>
        <v>5.2405640000000009</v>
      </c>
      <c r="O362" s="39">
        <f t="shared" si="36"/>
        <v>38.193384000000002</v>
      </c>
    </row>
    <row r="363" spans="1:15" x14ac:dyDescent="0.3">
      <c r="A363" s="19"/>
      <c r="B363" s="20">
        <v>2.0833333333333332E-2</v>
      </c>
      <c r="C363" s="21">
        <v>36.1</v>
      </c>
      <c r="D363" s="33">
        <v>29.9</v>
      </c>
      <c r="E363" s="7">
        <v>26</v>
      </c>
      <c r="F363" s="11">
        <f t="shared" si="31"/>
        <v>6.2000000000000028</v>
      </c>
      <c r="G363" s="23">
        <f t="shared" si="31"/>
        <v>3.8999999999999986</v>
      </c>
      <c r="H363" s="24">
        <f t="shared" si="32"/>
        <v>61.386138613861405</v>
      </c>
      <c r="I363" s="25">
        <v>3010</v>
      </c>
      <c r="J363" s="26">
        <f t="shared" si="33"/>
        <v>6.2000000000000028</v>
      </c>
      <c r="K363" s="21">
        <f t="shared" si="34"/>
        <v>28.55286000000001</v>
      </c>
      <c r="L363" s="38">
        <v>1.75</v>
      </c>
      <c r="M363" s="30">
        <v>5</v>
      </c>
      <c r="N363" s="28">
        <f t="shared" si="35"/>
        <v>4.7105720000000018</v>
      </c>
      <c r="O363" s="39">
        <f t="shared" si="36"/>
        <v>35.013432000000009</v>
      </c>
    </row>
    <row r="364" spans="1:15" x14ac:dyDescent="0.3">
      <c r="A364" s="19"/>
      <c r="B364" s="20">
        <v>0.10416666666666667</v>
      </c>
      <c r="C364" s="21">
        <v>36.1</v>
      </c>
      <c r="D364" s="33">
        <v>29</v>
      </c>
      <c r="E364" s="7">
        <v>26</v>
      </c>
      <c r="F364" s="11">
        <f t="shared" si="31"/>
        <v>7.1000000000000014</v>
      </c>
      <c r="G364" s="23">
        <f t="shared" si="31"/>
        <v>3</v>
      </c>
      <c r="H364" s="24">
        <f t="shared" si="32"/>
        <v>70.297029702970306</v>
      </c>
      <c r="I364" s="25">
        <v>3101</v>
      </c>
      <c r="J364" s="26">
        <f t="shared" si="33"/>
        <v>7.1000000000000014</v>
      </c>
      <c r="K364" s="21">
        <f t="shared" si="34"/>
        <v>33.686163000000001</v>
      </c>
      <c r="L364" s="38">
        <v>1.75</v>
      </c>
      <c r="M364" s="30">
        <v>5</v>
      </c>
      <c r="N364" s="28">
        <f t="shared" si="35"/>
        <v>5.7372326000000005</v>
      </c>
      <c r="O364" s="39">
        <f t="shared" si="36"/>
        <v>41.173395599999999</v>
      </c>
    </row>
    <row r="365" spans="1:15" x14ac:dyDescent="0.3">
      <c r="A365" s="19"/>
      <c r="B365" s="20">
        <v>0.1875</v>
      </c>
      <c r="C365" s="21">
        <v>36.299999999999997</v>
      </c>
      <c r="D365" s="33">
        <v>29.8</v>
      </c>
      <c r="E365" s="7">
        <v>26</v>
      </c>
      <c r="F365" s="11">
        <f t="shared" si="31"/>
        <v>6.4999999999999964</v>
      </c>
      <c r="G365" s="23">
        <f t="shared" si="31"/>
        <v>3.8000000000000007</v>
      </c>
      <c r="H365" s="24">
        <f t="shared" si="32"/>
        <v>63.106796116504839</v>
      </c>
      <c r="I365" s="25">
        <v>3036</v>
      </c>
      <c r="J365" s="26">
        <f t="shared" si="33"/>
        <v>6.4999999999999964</v>
      </c>
      <c r="K365" s="21">
        <f t="shared" si="34"/>
        <v>30.193019999999983</v>
      </c>
      <c r="L365" s="38">
        <v>1.75</v>
      </c>
      <c r="M365" s="30">
        <v>5</v>
      </c>
      <c r="N365" s="28">
        <f t="shared" si="35"/>
        <v>5.0386039999999968</v>
      </c>
      <c r="O365" s="39">
        <f t="shared" si="36"/>
        <v>36.981623999999982</v>
      </c>
    </row>
    <row r="366" spans="1:15" s="3" customFormat="1" x14ac:dyDescent="0.3">
      <c r="A366" s="34"/>
      <c r="B366" s="34"/>
      <c r="C366" s="34"/>
      <c r="D366" s="34"/>
      <c r="E366" s="34"/>
      <c r="F366" s="34"/>
      <c r="G366" s="34" t="s">
        <v>8</v>
      </c>
      <c r="H366" s="34">
        <f>AVERAGE(H354:H365)</f>
        <v>55.336167810641292</v>
      </c>
      <c r="I366" s="34"/>
      <c r="J366" s="34"/>
      <c r="K366" s="34">
        <f>AVERAGE(K354:K365)</f>
        <v>28.136368500000003</v>
      </c>
      <c r="L366" s="34"/>
      <c r="M366" s="34"/>
      <c r="N366" s="34">
        <f>AVERAGE(N354:N365)</f>
        <v>4.627273699999999</v>
      </c>
      <c r="O366" s="34">
        <f>AVERAGE(O354:O365)</f>
        <v>34.5136422</v>
      </c>
    </row>
    <row r="367" spans="1:15" x14ac:dyDescent="0.3">
      <c r="A367" s="19">
        <v>44590</v>
      </c>
      <c r="B367" s="20">
        <v>0.27083333333333331</v>
      </c>
      <c r="C367" s="21">
        <v>35.799999999999997</v>
      </c>
      <c r="D367" s="33">
        <v>29.4</v>
      </c>
      <c r="E367" s="7">
        <v>26</v>
      </c>
      <c r="F367" s="11">
        <f t="shared" si="31"/>
        <v>6.3999999999999986</v>
      </c>
      <c r="G367" s="23">
        <f t="shared" si="31"/>
        <v>3.3999999999999986</v>
      </c>
      <c r="H367" s="24">
        <f t="shared" si="32"/>
        <v>65.306122448979593</v>
      </c>
      <c r="I367" s="25">
        <v>3028</v>
      </c>
      <c r="J367" s="26">
        <f t="shared" si="33"/>
        <v>6.3999999999999986</v>
      </c>
      <c r="K367" s="21">
        <f t="shared" si="34"/>
        <v>29.650175999999991</v>
      </c>
      <c r="L367" s="38">
        <v>1.75</v>
      </c>
      <c r="M367" s="30">
        <v>5</v>
      </c>
      <c r="N367" s="28">
        <f t="shared" si="35"/>
        <v>4.9300351999999981</v>
      </c>
      <c r="O367" s="39">
        <f t="shared" si="36"/>
        <v>36.330211199999987</v>
      </c>
    </row>
    <row r="368" spans="1:15" x14ac:dyDescent="0.3">
      <c r="A368" s="31"/>
      <c r="B368" s="20">
        <v>0.35416666666666669</v>
      </c>
      <c r="C368" s="21">
        <v>35.4</v>
      </c>
      <c r="D368" s="33">
        <v>29</v>
      </c>
      <c r="E368" s="7">
        <v>26</v>
      </c>
      <c r="F368" s="11">
        <f t="shared" si="31"/>
        <v>6.3999999999999986</v>
      </c>
      <c r="G368" s="23">
        <f t="shared" si="31"/>
        <v>3</v>
      </c>
      <c r="H368" s="24">
        <f t="shared" si="32"/>
        <v>68.085106382978722</v>
      </c>
      <c r="I368" s="25">
        <v>3068</v>
      </c>
      <c r="J368" s="26">
        <f t="shared" si="33"/>
        <v>6.3999999999999986</v>
      </c>
      <c r="K368" s="21">
        <f t="shared" si="34"/>
        <v>30.041855999999989</v>
      </c>
      <c r="L368" s="38">
        <v>1.75</v>
      </c>
      <c r="M368" s="30">
        <v>5</v>
      </c>
      <c r="N368" s="28">
        <f t="shared" si="35"/>
        <v>5.0083711999999974</v>
      </c>
      <c r="O368" s="39">
        <f t="shared" si="36"/>
        <v>36.800227199999988</v>
      </c>
    </row>
    <row r="369" spans="1:15" x14ac:dyDescent="0.3">
      <c r="A369" s="31"/>
      <c r="B369" s="20">
        <v>0.4375</v>
      </c>
      <c r="C369" s="21">
        <v>36.1</v>
      </c>
      <c r="D369" s="33">
        <v>29.8</v>
      </c>
      <c r="E369" s="7">
        <v>26</v>
      </c>
      <c r="F369" s="11">
        <f t="shared" si="31"/>
        <v>6.3000000000000007</v>
      </c>
      <c r="G369" s="23">
        <f t="shared" si="31"/>
        <v>3.8000000000000007</v>
      </c>
      <c r="H369" s="24">
        <f t="shared" si="32"/>
        <v>62.376237623762378</v>
      </c>
      <c r="I369" s="25">
        <v>3156</v>
      </c>
      <c r="J369" s="26">
        <f t="shared" si="33"/>
        <v>6.3000000000000007</v>
      </c>
      <c r="K369" s="21">
        <f t="shared" si="34"/>
        <v>30.420684000000001</v>
      </c>
      <c r="L369" s="38">
        <v>1.75</v>
      </c>
      <c r="M369" s="30">
        <v>5</v>
      </c>
      <c r="N369" s="28">
        <f t="shared" si="35"/>
        <v>5.0841368000000005</v>
      </c>
      <c r="O369" s="39">
        <f t="shared" si="36"/>
        <v>37.254820800000005</v>
      </c>
    </row>
    <row r="370" spans="1:15" x14ac:dyDescent="0.3">
      <c r="A370" s="31"/>
      <c r="B370" s="20">
        <v>0.52083333333333337</v>
      </c>
      <c r="C370" s="21">
        <v>37.5</v>
      </c>
      <c r="D370" s="33">
        <v>31</v>
      </c>
      <c r="E370" s="7">
        <v>26</v>
      </c>
      <c r="F370" s="11">
        <f t="shared" si="31"/>
        <v>6.5</v>
      </c>
      <c r="G370" s="23">
        <f t="shared" si="31"/>
        <v>5</v>
      </c>
      <c r="H370" s="24">
        <f t="shared" si="32"/>
        <v>56.521739130434781</v>
      </c>
      <c r="I370" s="25">
        <v>3048</v>
      </c>
      <c r="J370" s="26">
        <f t="shared" si="33"/>
        <v>6.5</v>
      </c>
      <c r="K370" s="21">
        <f t="shared" si="34"/>
        <v>30.312359999999998</v>
      </c>
      <c r="L370" s="38">
        <v>1.75</v>
      </c>
      <c r="M370" s="30">
        <v>5</v>
      </c>
      <c r="N370" s="28">
        <f t="shared" si="35"/>
        <v>5.0624719999999996</v>
      </c>
      <c r="O370" s="39">
        <f t="shared" si="36"/>
        <v>37.124831999999998</v>
      </c>
    </row>
    <row r="371" spans="1:15" x14ac:dyDescent="0.3">
      <c r="A371" s="31"/>
      <c r="B371" s="20">
        <v>0.60416666666666663</v>
      </c>
      <c r="C371" s="21">
        <v>37.6</v>
      </c>
      <c r="D371" s="33">
        <v>31.2</v>
      </c>
      <c r="E371" s="7">
        <v>26</v>
      </c>
      <c r="F371" s="11">
        <f t="shared" si="31"/>
        <v>6.4000000000000021</v>
      </c>
      <c r="G371" s="23">
        <f t="shared" si="31"/>
        <v>5.1999999999999993</v>
      </c>
      <c r="H371" s="24">
        <f t="shared" si="32"/>
        <v>55.172413793103459</v>
      </c>
      <c r="I371" s="25">
        <v>3024</v>
      </c>
      <c r="J371" s="26">
        <f t="shared" si="33"/>
        <v>6.4000000000000021</v>
      </c>
      <c r="K371" s="21">
        <f t="shared" si="34"/>
        <v>29.611008000000009</v>
      </c>
      <c r="L371" s="38">
        <v>1.75</v>
      </c>
      <c r="M371" s="30">
        <v>5</v>
      </c>
      <c r="N371" s="28">
        <f t="shared" si="35"/>
        <v>4.922201600000002</v>
      </c>
      <c r="O371" s="39">
        <f t="shared" si="36"/>
        <v>36.283209600000013</v>
      </c>
    </row>
    <row r="372" spans="1:15" x14ac:dyDescent="0.3">
      <c r="A372" s="31"/>
      <c r="B372" s="20">
        <v>0.6875</v>
      </c>
      <c r="C372" s="21">
        <v>37.6</v>
      </c>
      <c r="D372" s="33">
        <v>31.2</v>
      </c>
      <c r="E372" s="7">
        <v>26</v>
      </c>
      <c r="F372" s="11">
        <f t="shared" si="31"/>
        <v>6.4000000000000021</v>
      </c>
      <c r="G372" s="23">
        <f t="shared" si="31"/>
        <v>5.1999999999999993</v>
      </c>
      <c r="H372" s="24">
        <f t="shared" si="32"/>
        <v>55.172413793103459</v>
      </c>
      <c r="I372" s="25">
        <v>3067</v>
      </c>
      <c r="J372" s="26">
        <f t="shared" si="33"/>
        <v>6.4000000000000021</v>
      </c>
      <c r="K372" s="21">
        <f t="shared" si="34"/>
        <v>30.032064000000005</v>
      </c>
      <c r="L372" s="38">
        <v>1.75</v>
      </c>
      <c r="M372" s="30">
        <v>5</v>
      </c>
      <c r="N372" s="28">
        <f t="shared" si="35"/>
        <v>5.0064128000000014</v>
      </c>
      <c r="O372" s="39">
        <f t="shared" si="36"/>
        <v>36.788476800000005</v>
      </c>
    </row>
    <row r="373" spans="1:15" x14ac:dyDescent="0.3">
      <c r="A373" s="31"/>
      <c r="B373" s="20">
        <v>0.77083333333333337</v>
      </c>
      <c r="C373" s="21">
        <v>37.6</v>
      </c>
      <c r="D373" s="33">
        <v>31.2</v>
      </c>
      <c r="E373" s="7">
        <v>26</v>
      </c>
      <c r="F373" s="11">
        <f t="shared" si="31"/>
        <v>6.4000000000000021</v>
      </c>
      <c r="G373" s="23">
        <f t="shared" si="31"/>
        <v>5.1999999999999993</v>
      </c>
      <c r="H373" s="24">
        <f t="shared" si="32"/>
        <v>55.172413793103459</v>
      </c>
      <c r="I373" s="25">
        <v>3009</v>
      </c>
      <c r="J373" s="26">
        <f t="shared" si="33"/>
        <v>6.4000000000000021</v>
      </c>
      <c r="K373" s="21">
        <f t="shared" si="34"/>
        <v>29.464128000000009</v>
      </c>
      <c r="L373" s="38">
        <v>1.75</v>
      </c>
      <c r="M373" s="30">
        <v>5</v>
      </c>
      <c r="N373" s="28">
        <f t="shared" si="35"/>
        <v>4.8928256000000019</v>
      </c>
      <c r="O373" s="39">
        <f t="shared" si="36"/>
        <v>36.106953600000011</v>
      </c>
    </row>
    <row r="374" spans="1:15" x14ac:dyDescent="0.3">
      <c r="A374" s="31"/>
      <c r="B374" s="20">
        <v>0.85416666666666663</v>
      </c>
      <c r="C374" s="21">
        <v>37.299999999999997</v>
      </c>
      <c r="D374" s="33">
        <v>30.8</v>
      </c>
      <c r="E374" s="7">
        <v>26</v>
      </c>
      <c r="F374" s="11">
        <f t="shared" si="31"/>
        <v>6.4999999999999964</v>
      </c>
      <c r="G374" s="23">
        <f t="shared" si="31"/>
        <v>4.8000000000000007</v>
      </c>
      <c r="H374" s="24">
        <f t="shared" si="32"/>
        <v>57.522123893805286</v>
      </c>
      <c r="I374" s="25">
        <v>3010</v>
      </c>
      <c r="J374" s="26">
        <f t="shared" si="33"/>
        <v>6.4999999999999964</v>
      </c>
      <c r="K374" s="21">
        <f t="shared" si="34"/>
        <v>29.93444999999998</v>
      </c>
      <c r="L374" s="38">
        <v>1.75</v>
      </c>
      <c r="M374" s="30">
        <v>5</v>
      </c>
      <c r="N374" s="28">
        <f t="shared" si="35"/>
        <v>4.9868899999999963</v>
      </c>
      <c r="O374" s="39">
        <f t="shared" si="36"/>
        <v>36.671339999999979</v>
      </c>
    </row>
    <row r="375" spans="1:15" x14ac:dyDescent="0.3">
      <c r="A375" s="31"/>
      <c r="B375" s="20">
        <v>0.9375</v>
      </c>
      <c r="C375" s="21">
        <v>37.4</v>
      </c>
      <c r="D375" s="33">
        <v>31</v>
      </c>
      <c r="E375" s="7">
        <v>26</v>
      </c>
      <c r="F375" s="11">
        <f t="shared" si="31"/>
        <v>6.3999999999999986</v>
      </c>
      <c r="G375" s="23">
        <f t="shared" si="31"/>
        <v>5</v>
      </c>
      <c r="H375" s="24">
        <f t="shared" si="32"/>
        <v>56.140350877192979</v>
      </c>
      <c r="I375" s="25">
        <v>3048</v>
      </c>
      <c r="J375" s="26">
        <f t="shared" si="33"/>
        <v>6.3999999999999986</v>
      </c>
      <c r="K375" s="21">
        <f t="shared" si="34"/>
        <v>29.846015999999992</v>
      </c>
      <c r="L375" s="38">
        <v>1.75</v>
      </c>
      <c r="M375" s="30">
        <v>5</v>
      </c>
      <c r="N375" s="28">
        <f t="shared" si="35"/>
        <v>4.9692031999999982</v>
      </c>
      <c r="O375" s="39">
        <f t="shared" si="36"/>
        <v>36.565219199999987</v>
      </c>
    </row>
    <row r="376" spans="1:15" x14ac:dyDescent="0.3">
      <c r="A376" s="31"/>
      <c r="B376" s="20">
        <v>2.0833333333333332E-2</v>
      </c>
      <c r="C376" s="21">
        <v>37.799999999999997</v>
      </c>
      <c r="D376" s="33">
        <v>31.1</v>
      </c>
      <c r="E376" s="7">
        <v>26</v>
      </c>
      <c r="F376" s="11">
        <f t="shared" si="31"/>
        <v>6.6999999999999957</v>
      </c>
      <c r="G376" s="23">
        <f t="shared" si="31"/>
        <v>5.1000000000000014</v>
      </c>
      <c r="H376" s="24">
        <f t="shared" si="32"/>
        <v>56.779661016949134</v>
      </c>
      <c r="I376" s="25">
        <v>3045</v>
      </c>
      <c r="J376" s="26">
        <f t="shared" si="33"/>
        <v>6.6999999999999957</v>
      </c>
      <c r="K376" s="21">
        <f t="shared" si="34"/>
        <v>31.214294999999975</v>
      </c>
      <c r="L376" s="38">
        <v>1.75</v>
      </c>
      <c r="M376" s="30">
        <v>5</v>
      </c>
      <c r="N376" s="28">
        <f t="shared" si="35"/>
        <v>5.2428589999999948</v>
      </c>
      <c r="O376" s="39">
        <f t="shared" si="36"/>
        <v>38.207153999999974</v>
      </c>
    </row>
    <row r="377" spans="1:15" x14ac:dyDescent="0.3">
      <c r="A377" s="31"/>
      <c r="B377" s="20">
        <v>0.10416666666666667</v>
      </c>
      <c r="C377" s="21">
        <v>37.5</v>
      </c>
      <c r="D377" s="33">
        <v>30.8</v>
      </c>
      <c r="E377" s="7">
        <v>26</v>
      </c>
      <c r="F377" s="11">
        <f t="shared" si="31"/>
        <v>6.6999999999999993</v>
      </c>
      <c r="G377" s="23">
        <f t="shared" si="31"/>
        <v>4.8000000000000007</v>
      </c>
      <c r="H377" s="24">
        <f t="shared" si="32"/>
        <v>58.260869565217391</v>
      </c>
      <c r="I377" s="25">
        <v>3073</v>
      </c>
      <c r="J377" s="26">
        <f t="shared" si="33"/>
        <v>6.6999999999999993</v>
      </c>
      <c r="K377" s="21">
        <f t="shared" si="34"/>
        <v>31.501322999999992</v>
      </c>
      <c r="L377" s="38">
        <v>1.75</v>
      </c>
      <c r="M377" s="30">
        <v>5</v>
      </c>
      <c r="N377" s="28">
        <f t="shared" si="35"/>
        <v>5.3002645999999984</v>
      </c>
      <c r="O377" s="39">
        <f t="shared" si="36"/>
        <v>38.551587599999991</v>
      </c>
    </row>
    <row r="378" spans="1:15" x14ac:dyDescent="0.3">
      <c r="A378" s="31"/>
      <c r="B378" s="20">
        <v>0.1875</v>
      </c>
      <c r="C378" s="21">
        <v>37.1</v>
      </c>
      <c r="D378" s="33">
        <v>30.2</v>
      </c>
      <c r="E378" s="7">
        <v>26</v>
      </c>
      <c r="F378" s="11">
        <f t="shared" si="31"/>
        <v>6.9000000000000021</v>
      </c>
      <c r="G378" s="23">
        <f t="shared" si="31"/>
        <v>4.1999999999999993</v>
      </c>
      <c r="H378" s="24">
        <f t="shared" si="32"/>
        <v>62.162162162162168</v>
      </c>
      <c r="I378" s="25">
        <v>3042</v>
      </c>
      <c r="J378" s="26">
        <f t="shared" si="33"/>
        <v>6.9000000000000021</v>
      </c>
      <c r="K378" s="21">
        <f t="shared" si="34"/>
        <v>32.114394000000011</v>
      </c>
      <c r="L378" s="38">
        <v>1.75</v>
      </c>
      <c r="M378" s="30">
        <v>5</v>
      </c>
      <c r="N378" s="28">
        <f t="shared" si="35"/>
        <v>5.4228788000000021</v>
      </c>
      <c r="O378" s="39">
        <f t="shared" si="36"/>
        <v>39.287272800000011</v>
      </c>
    </row>
    <row r="379" spans="1:15" s="3" customFormat="1" x14ac:dyDescent="0.3">
      <c r="A379" s="34"/>
      <c r="B379" s="34"/>
      <c r="C379" s="34"/>
      <c r="D379" s="34"/>
      <c r="E379" s="34"/>
      <c r="F379" s="34"/>
      <c r="G379" s="34" t="s">
        <v>8</v>
      </c>
      <c r="H379" s="34">
        <f>AVERAGE(H367:H378)</f>
        <v>59.055967873399403</v>
      </c>
      <c r="I379" s="34"/>
      <c r="J379" s="34"/>
      <c r="K379" s="34">
        <f>AVERAGE(K367:K378)</f>
        <v>30.345229499999999</v>
      </c>
      <c r="L379" s="34"/>
      <c r="M379" s="34"/>
      <c r="N379" s="34">
        <f>AVERAGE(N367:N378)</f>
        <v>5.0690458999999981</v>
      </c>
      <c r="O379" s="34">
        <f>AVERAGE(O367:O378)</f>
        <v>37.164275400000001</v>
      </c>
    </row>
    <row r="380" spans="1:15" x14ac:dyDescent="0.3">
      <c r="A380" s="19">
        <v>44591</v>
      </c>
      <c r="B380" s="20">
        <v>0.27083333333333331</v>
      </c>
      <c r="C380" s="21">
        <v>37.200000000000003</v>
      </c>
      <c r="D380" s="33">
        <v>30.4</v>
      </c>
      <c r="E380" s="7">
        <v>26</v>
      </c>
      <c r="F380" s="11">
        <f t="shared" si="31"/>
        <v>6.8000000000000043</v>
      </c>
      <c r="G380" s="23">
        <f t="shared" si="31"/>
        <v>4.3999999999999986</v>
      </c>
      <c r="H380" s="24">
        <f t="shared" si="32"/>
        <v>60.71428571428573</v>
      </c>
      <c r="I380" s="25">
        <v>3143</v>
      </c>
      <c r="J380" s="26">
        <f t="shared" si="33"/>
        <v>6.8000000000000043</v>
      </c>
      <c r="K380" s="21">
        <f t="shared" si="34"/>
        <v>32.699772000000017</v>
      </c>
      <c r="L380" s="38">
        <v>1.75</v>
      </c>
      <c r="M380" s="30">
        <v>5</v>
      </c>
      <c r="N380" s="28">
        <f t="shared" si="35"/>
        <v>5.5399544000000036</v>
      </c>
      <c r="O380" s="39">
        <f t="shared" si="36"/>
        <v>39.989726400000023</v>
      </c>
    </row>
    <row r="381" spans="1:15" x14ac:dyDescent="0.3">
      <c r="A381" s="19"/>
      <c r="B381" s="20">
        <v>0.35416666666666669</v>
      </c>
      <c r="C381" s="21">
        <v>36.9</v>
      </c>
      <c r="D381" s="33">
        <v>30.1</v>
      </c>
      <c r="E381" s="7">
        <v>26</v>
      </c>
      <c r="F381" s="11">
        <f t="shared" si="31"/>
        <v>6.7999999999999972</v>
      </c>
      <c r="G381" s="23">
        <f t="shared" si="31"/>
        <v>4.1000000000000014</v>
      </c>
      <c r="H381" s="24">
        <f t="shared" si="32"/>
        <v>62.385321100917409</v>
      </c>
      <c r="I381" s="25">
        <v>2994</v>
      </c>
      <c r="J381" s="26">
        <f t="shared" si="33"/>
        <v>6.7999999999999972</v>
      </c>
      <c r="K381" s="21">
        <f t="shared" si="34"/>
        <v>31.149575999999989</v>
      </c>
      <c r="L381" s="38">
        <v>1.75</v>
      </c>
      <c r="M381" s="30">
        <v>5</v>
      </c>
      <c r="N381" s="28">
        <f t="shared" si="35"/>
        <v>5.229915199999998</v>
      </c>
      <c r="O381" s="39">
        <f t="shared" si="36"/>
        <v>38.12949119999999</v>
      </c>
    </row>
    <row r="382" spans="1:15" x14ac:dyDescent="0.3">
      <c r="A382" s="19"/>
      <c r="B382" s="20">
        <v>0.4375</v>
      </c>
      <c r="C382" s="21">
        <v>37.6</v>
      </c>
      <c r="D382" s="33">
        <v>30.9</v>
      </c>
      <c r="E382" s="7">
        <v>26</v>
      </c>
      <c r="F382" s="11">
        <f t="shared" si="31"/>
        <v>6.7000000000000028</v>
      </c>
      <c r="G382" s="23">
        <f t="shared" si="31"/>
        <v>4.8999999999999986</v>
      </c>
      <c r="H382" s="24">
        <f t="shared" si="32"/>
        <v>57.758620689655196</v>
      </c>
      <c r="I382" s="25">
        <v>3058</v>
      </c>
      <c r="J382" s="26">
        <f t="shared" si="33"/>
        <v>6.7000000000000028</v>
      </c>
      <c r="K382" s="21">
        <f t="shared" si="34"/>
        <v>31.34755800000001</v>
      </c>
      <c r="L382" s="38">
        <v>1.75</v>
      </c>
      <c r="M382" s="30">
        <v>5</v>
      </c>
      <c r="N382" s="28">
        <f t="shared" si="35"/>
        <v>5.2695116000000022</v>
      </c>
      <c r="O382" s="39">
        <f t="shared" si="36"/>
        <v>38.367069600000008</v>
      </c>
    </row>
    <row r="383" spans="1:15" x14ac:dyDescent="0.3">
      <c r="A383" s="19"/>
      <c r="B383" s="20">
        <v>0.52083333333333337</v>
      </c>
      <c r="C383" s="21">
        <v>39.1</v>
      </c>
      <c r="D383" s="33">
        <v>32.1</v>
      </c>
      <c r="E383" s="7">
        <v>26</v>
      </c>
      <c r="F383" s="11">
        <f t="shared" si="31"/>
        <v>7</v>
      </c>
      <c r="G383" s="23">
        <f t="shared" si="31"/>
        <v>6.1000000000000014</v>
      </c>
      <c r="H383" s="24">
        <f t="shared" si="32"/>
        <v>53.435114503816784</v>
      </c>
      <c r="I383" s="25">
        <v>2968</v>
      </c>
      <c r="J383" s="26">
        <f t="shared" si="33"/>
        <v>7</v>
      </c>
      <c r="K383" s="21">
        <f t="shared" si="34"/>
        <v>31.787279999999999</v>
      </c>
      <c r="L383" s="38">
        <v>1.75</v>
      </c>
      <c r="M383" s="30">
        <v>5</v>
      </c>
      <c r="N383" s="28">
        <f t="shared" si="35"/>
        <v>5.357456</v>
      </c>
      <c r="O383" s="39">
        <f t="shared" si="36"/>
        <v>38.894735999999995</v>
      </c>
    </row>
    <row r="384" spans="1:15" x14ac:dyDescent="0.3">
      <c r="A384" s="19"/>
      <c r="B384" s="20">
        <v>0.60416666666666663</v>
      </c>
      <c r="C384" s="21">
        <v>39.9</v>
      </c>
      <c r="D384" s="33">
        <v>32.799999999999997</v>
      </c>
      <c r="E384" s="7">
        <v>26</v>
      </c>
      <c r="F384" s="11">
        <f t="shared" si="31"/>
        <v>7.1000000000000014</v>
      </c>
      <c r="G384" s="23">
        <f t="shared" si="31"/>
        <v>6.7999999999999972</v>
      </c>
      <c r="H384" s="24">
        <f t="shared" si="32"/>
        <v>51.079136690647495</v>
      </c>
      <c r="I384" s="25">
        <v>2970</v>
      </c>
      <c r="J384" s="26">
        <f t="shared" si="33"/>
        <v>7.1000000000000014</v>
      </c>
      <c r="K384" s="21">
        <f t="shared" si="34"/>
        <v>32.263110000000005</v>
      </c>
      <c r="L384" s="38">
        <v>1.75</v>
      </c>
      <c r="M384" s="30">
        <v>5</v>
      </c>
      <c r="N384" s="28">
        <f t="shared" si="35"/>
        <v>5.4526220000000007</v>
      </c>
      <c r="O384" s="39">
        <f t="shared" si="36"/>
        <v>39.465732000000003</v>
      </c>
    </row>
    <row r="385" spans="1:15" x14ac:dyDescent="0.3">
      <c r="A385" s="19"/>
      <c r="B385" s="20">
        <v>0.6875</v>
      </c>
      <c r="C385" s="21">
        <v>40.1</v>
      </c>
      <c r="D385" s="33">
        <v>32.9</v>
      </c>
      <c r="E385" s="7">
        <v>26</v>
      </c>
      <c r="F385" s="11">
        <f t="shared" si="31"/>
        <v>7.2000000000000028</v>
      </c>
      <c r="G385" s="23">
        <f t="shared" si="31"/>
        <v>6.8999999999999986</v>
      </c>
      <c r="H385" s="24">
        <f t="shared" si="32"/>
        <v>51.063829787234063</v>
      </c>
      <c r="I385" s="25">
        <v>2946</v>
      </c>
      <c r="J385" s="26">
        <f t="shared" si="33"/>
        <v>7.2000000000000028</v>
      </c>
      <c r="K385" s="21">
        <f t="shared" si="34"/>
        <v>32.453136000000008</v>
      </c>
      <c r="L385" s="38">
        <v>1.75</v>
      </c>
      <c r="M385" s="30">
        <v>5</v>
      </c>
      <c r="N385" s="28">
        <f t="shared" si="35"/>
        <v>5.4906272000000014</v>
      </c>
      <c r="O385" s="39">
        <f t="shared" si="36"/>
        <v>39.693763200000006</v>
      </c>
    </row>
    <row r="386" spans="1:15" x14ac:dyDescent="0.3">
      <c r="A386" s="19"/>
      <c r="B386" s="20">
        <v>0.77083333333333337</v>
      </c>
      <c r="C386" s="21">
        <v>39.700000000000003</v>
      </c>
      <c r="D386" s="33">
        <v>32.5</v>
      </c>
      <c r="E386" s="7">
        <v>26</v>
      </c>
      <c r="F386" s="11">
        <f t="shared" si="31"/>
        <v>7.2000000000000028</v>
      </c>
      <c r="G386" s="23">
        <f t="shared" si="31"/>
        <v>6.5</v>
      </c>
      <c r="H386" s="24">
        <f t="shared" si="32"/>
        <v>52.554744525547456</v>
      </c>
      <c r="I386" s="25">
        <v>2959</v>
      </c>
      <c r="J386" s="26">
        <f t="shared" si="33"/>
        <v>7.2000000000000028</v>
      </c>
      <c r="K386" s="21">
        <f t="shared" si="34"/>
        <v>32.596344000000009</v>
      </c>
      <c r="L386" s="38">
        <v>1.75</v>
      </c>
      <c r="M386" s="30">
        <v>5</v>
      </c>
      <c r="N386" s="28">
        <f t="shared" si="35"/>
        <v>5.5192688000000016</v>
      </c>
      <c r="O386" s="39">
        <f t="shared" si="36"/>
        <v>39.865612800000008</v>
      </c>
    </row>
    <row r="387" spans="1:15" x14ac:dyDescent="0.3">
      <c r="A387" s="19"/>
      <c r="B387" s="20">
        <v>0.85416666666666663</v>
      </c>
      <c r="C387" s="21">
        <v>39.200000000000003</v>
      </c>
      <c r="D387" s="33">
        <v>32</v>
      </c>
      <c r="E387" s="7">
        <v>26</v>
      </c>
      <c r="F387" s="11">
        <f t="shared" si="31"/>
        <v>7.2000000000000028</v>
      </c>
      <c r="G387" s="23">
        <f t="shared" si="31"/>
        <v>6</v>
      </c>
      <c r="H387" s="24">
        <f t="shared" si="32"/>
        <v>54.545454545454554</v>
      </c>
      <c r="I387" s="25">
        <v>2886</v>
      </c>
      <c r="J387" s="26">
        <f t="shared" si="33"/>
        <v>7.2000000000000028</v>
      </c>
      <c r="K387" s="21">
        <f t="shared" si="34"/>
        <v>31.792176000000008</v>
      </c>
      <c r="L387" s="38">
        <v>1.75</v>
      </c>
      <c r="M387" s="30">
        <v>5</v>
      </c>
      <c r="N387" s="28">
        <f t="shared" si="35"/>
        <v>5.3584352000000015</v>
      </c>
      <c r="O387" s="39">
        <f t="shared" si="36"/>
        <v>38.900611200000014</v>
      </c>
    </row>
    <row r="388" spans="1:15" x14ac:dyDescent="0.3">
      <c r="A388" s="19"/>
      <c r="B388" s="20">
        <v>0.9375</v>
      </c>
      <c r="C388" s="21">
        <v>38.9</v>
      </c>
      <c r="D388" s="33">
        <v>31.8</v>
      </c>
      <c r="E388" s="7">
        <v>26</v>
      </c>
      <c r="F388" s="11">
        <f t="shared" ref="F388:G404" si="37">C388-D388</f>
        <v>7.0999999999999979</v>
      </c>
      <c r="G388" s="23">
        <f t="shared" si="37"/>
        <v>5.8000000000000007</v>
      </c>
      <c r="H388" s="24">
        <f t="shared" ref="H388:H404" si="38">(F388/(F388+G388))*100</f>
        <v>55.038759689922465</v>
      </c>
      <c r="I388" s="25">
        <v>2858</v>
      </c>
      <c r="J388" s="26">
        <f t="shared" ref="J388:J404" si="39">C388-D388</f>
        <v>7.0999999999999979</v>
      </c>
      <c r="K388" s="21">
        <f t="shared" ref="K388:K404" si="40">0.00085*1.8*I388*J388</f>
        <v>31.046453999999986</v>
      </c>
      <c r="L388" s="38">
        <v>1.75</v>
      </c>
      <c r="M388" s="30">
        <v>5</v>
      </c>
      <c r="N388" s="28">
        <f t="shared" ref="N388:N404" si="41">K388/M388-1</f>
        <v>5.2092907999999971</v>
      </c>
      <c r="O388" s="39">
        <f t="shared" ref="O388:O404" si="42">K388+L388+N388</f>
        <v>38.005744799999981</v>
      </c>
    </row>
    <row r="389" spans="1:15" x14ac:dyDescent="0.3">
      <c r="A389" s="19"/>
      <c r="B389" s="20">
        <v>2.0833333333333332E-2</v>
      </c>
      <c r="C389" s="21">
        <v>37.799999999999997</v>
      </c>
      <c r="D389" s="33">
        <v>31</v>
      </c>
      <c r="E389" s="7">
        <v>26</v>
      </c>
      <c r="F389" s="11">
        <f t="shared" si="37"/>
        <v>6.7999999999999972</v>
      </c>
      <c r="G389" s="23">
        <f t="shared" si="37"/>
        <v>5</v>
      </c>
      <c r="H389" s="24">
        <f t="shared" si="38"/>
        <v>57.627118644067785</v>
      </c>
      <c r="I389" s="25">
        <v>2948</v>
      </c>
      <c r="J389" s="26">
        <f t="shared" si="39"/>
        <v>6.7999999999999972</v>
      </c>
      <c r="K389" s="21">
        <f t="shared" si="40"/>
        <v>30.670991999999988</v>
      </c>
      <c r="L389" s="38">
        <v>1.75</v>
      </c>
      <c r="M389" s="30">
        <v>5</v>
      </c>
      <c r="N389" s="28">
        <f t="shared" si="41"/>
        <v>5.1341983999999972</v>
      </c>
      <c r="O389" s="39">
        <f t="shared" si="42"/>
        <v>37.555190399999979</v>
      </c>
    </row>
    <row r="390" spans="1:15" x14ac:dyDescent="0.3">
      <c r="A390" s="19"/>
      <c r="B390" s="20">
        <v>0.10416666666666667</v>
      </c>
      <c r="C390" s="21">
        <v>37.1</v>
      </c>
      <c r="D390" s="33">
        <v>30.4</v>
      </c>
      <c r="E390" s="7">
        <v>26</v>
      </c>
      <c r="F390" s="11">
        <f t="shared" si="37"/>
        <v>6.7000000000000028</v>
      </c>
      <c r="G390" s="23">
        <f t="shared" si="37"/>
        <v>4.3999999999999986</v>
      </c>
      <c r="H390" s="24">
        <f t="shared" si="38"/>
        <v>60.360360360360374</v>
      </c>
      <c r="I390" s="25">
        <v>2891</v>
      </c>
      <c r="J390" s="26">
        <f t="shared" si="39"/>
        <v>6.7000000000000028</v>
      </c>
      <c r="K390" s="21">
        <f t="shared" si="40"/>
        <v>29.635641000000007</v>
      </c>
      <c r="L390" s="38">
        <v>1.75</v>
      </c>
      <c r="M390" s="30">
        <v>5</v>
      </c>
      <c r="N390" s="28">
        <f t="shared" si="41"/>
        <v>4.9271282000000012</v>
      </c>
      <c r="O390" s="39">
        <f t="shared" si="42"/>
        <v>36.312769200000005</v>
      </c>
    </row>
    <row r="391" spans="1:15" x14ac:dyDescent="0.3">
      <c r="A391" s="19"/>
      <c r="B391" s="20">
        <v>0.1875</v>
      </c>
      <c r="C391" s="21">
        <v>36.200000000000003</v>
      </c>
      <c r="D391" s="33">
        <v>29.5</v>
      </c>
      <c r="E391" s="7">
        <v>26</v>
      </c>
      <c r="F391" s="11">
        <f t="shared" si="37"/>
        <v>6.7000000000000028</v>
      </c>
      <c r="G391" s="23">
        <f t="shared" si="37"/>
        <v>3.5</v>
      </c>
      <c r="H391" s="24">
        <f t="shared" si="38"/>
        <v>65.686274509803937</v>
      </c>
      <c r="I391" s="25">
        <v>2865</v>
      </c>
      <c r="J391" s="26">
        <f t="shared" si="39"/>
        <v>6.7000000000000028</v>
      </c>
      <c r="K391" s="21">
        <f t="shared" si="40"/>
        <v>29.369115000000011</v>
      </c>
      <c r="L391" s="38">
        <v>1.75</v>
      </c>
      <c r="M391" s="30">
        <v>5</v>
      </c>
      <c r="N391" s="28">
        <f t="shared" si="41"/>
        <v>4.8738230000000025</v>
      </c>
      <c r="O391" s="39">
        <f t="shared" si="42"/>
        <v>35.992938000000017</v>
      </c>
    </row>
    <row r="392" spans="1:15" s="3" customFormat="1" x14ac:dyDescent="0.3">
      <c r="A392" s="34"/>
      <c r="B392" s="34"/>
      <c r="C392" s="34"/>
      <c r="D392" s="34"/>
      <c r="E392" s="34"/>
      <c r="F392" s="34"/>
      <c r="G392" s="34" t="s">
        <v>8</v>
      </c>
      <c r="H392" s="34">
        <f>AVERAGE(H380:H391)</f>
        <v>56.854085063476106</v>
      </c>
      <c r="I392" s="34"/>
      <c r="J392" s="34"/>
      <c r="K392" s="34">
        <f>AVERAGE(K380:K391)</f>
        <v>31.400929500000004</v>
      </c>
      <c r="L392" s="34"/>
      <c r="M392" s="34"/>
      <c r="N392" s="34">
        <f>AVERAGE(N380:N391)</f>
        <v>5.2801859000000002</v>
      </c>
      <c r="O392" s="34">
        <f>AVERAGE(O380:O391)</f>
        <v>38.431115400000003</v>
      </c>
    </row>
    <row r="393" spans="1:15" x14ac:dyDescent="0.3">
      <c r="A393" s="19">
        <v>44592</v>
      </c>
      <c r="B393" s="20">
        <v>0.27083333333333331</v>
      </c>
      <c r="C393" s="21">
        <v>35.1</v>
      </c>
      <c r="D393" s="33">
        <v>29</v>
      </c>
      <c r="E393" s="7">
        <v>26</v>
      </c>
      <c r="F393" s="11">
        <f t="shared" si="37"/>
        <v>6.1000000000000014</v>
      </c>
      <c r="G393" s="23">
        <f t="shared" si="37"/>
        <v>3</v>
      </c>
      <c r="H393" s="24">
        <f t="shared" si="38"/>
        <v>67.032967032967036</v>
      </c>
      <c r="I393" s="25">
        <v>2931</v>
      </c>
      <c r="J393" s="26">
        <f t="shared" si="39"/>
        <v>6.1000000000000014</v>
      </c>
      <c r="K393" s="21">
        <f t="shared" si="40"/>
        <v>27.355023000000003</v>
      </c>
      <c r="L393" s="38">
        <v>1.75</v>
      </c>
      <c r="M393" s="30">
        <v>5</v>
      </c>
      <c r="N393" s="28">
        <f t="shared" si="41"/>
        <v>4.4710046000000006</v>
      </c>
      <c r="O393" s="39">
        <f t="shared" si="42"/>
        <v>33.576027600000003</v>
      </c>
    </row>
    <row r="394" spans="1:15" x14ac:dyDescent="0.3">
      <c r="A394" s="31"/>
      <c r="B394" s="20">
        <v>0.35416666666666669</v>
      </c>
      <c r="C394" s="21">
        <v>35.1</v>
      </c>
      <c r="D394" s="33">
        <v>28.9</v>
      </c>
      <c r="E394" s="7">
        <v>26</v>
      </c>
      <c r="F394" s="11">
        <f t="shared" si="37"/>
        <v>6.2000000000000028</v>
      </c>
      <c r="G394" s="23">
        <f t="shared" si="37"/>
        <v>2.8999999999999986</v>
      </c>
      <c r="H394" s="24">
        <f t="shared" si="38"/>
        <v>68.13186813186816</v>
      </c>
      <c r="I394" s="25">
        <v>2841</v>
      </c>
      <c r="J394" s="26">
        <f t="shared" si="39"/>
        <v>6.2000000000000028</v>
      </c>
      <c r="K394" s="21">
        <f t="shared" si="40"/>
        <v>26.949726000000013</v>
      </c>
      <c r="L394" s="38">
        <v>1.75</v>
      </c>
      <c r="M394" s="30">
        <v>5</v>
      </c>
      <c r="N394" s="28">
        <f t="shared" si="41"/>
        <v>4.3899452000000023</v>
      </c>
      <c r="O394" s="39">
        <f t="shared" si="42"/>
        <v>33.089671200000012</v>
      </c>
    </row>
    <row r="395" spans="1:15" x14ac:dyDescent="0.3">
      <c r="A395" s="31"/>
      <c r="B395" s="20">
        <v>0.4375</v>
      </c>
      <c r="C395" s="21">
        <v>36.9</v>
      </c>
      <c r="D395" s="33">
        <v>30</v>
      </c>
      <c r="E395" s="7">
        <v>26</v>
      </c>
      <c r="F395" s="11">
        <f t="shared" si="37"/>
        <v>6.8999999999999986</v>
      </c>
      <c r="G395" s="23">
        <f t="shared" si="37"/>
        <v>4</v>
      </c>
      <c r="H395" s="24">
        <f t="shared" si="38"/>
        <v>63.302752293577981</v>
      </c>
      <c r="I395" s="25">
        <v>2861</v>
      </c>
      <c r="J395" s="26">
        <f t="shared" si="39"/>
        <v>6.8999999999999986</v>
      </c>
      <c r="K395" s="21">
        <f t="shared" si="40"/>
        <v>30.203576999999992</v>
      </c>
      <c r="L395" s="38">
        <v>1.75</v>
      </c>
      <c r="M395" s="30">
        <v>5</v>
      </c>
      <c r="N395" s="28">
        <f t="shared" si="41"/>
        <v>5.0407153999999981</v>
      </c>
      <c r="O395" s="39">
        <f t="shared" si="42"/>
        <v>36.994292399999992</v>
      </c>
    </row>
    <row r="396" spans="1:15" x14ac:dyDescent="0.3">
      <c r="A396" s="31"/>
      <c r="B396" s="20">
        <v>0.52083333333333337</v>
      </c>
      <c r="C396" s="21">
        <v>38</v>
      </c>
      <c r="D396" s="33">
        <v>31</v>
      </c>
      <c r="E396" s="7">
        <v>26</v>
      </c>
      <c r="F396" s="11">
        <f t="shared" si="37"/>
        <v>7</v>
      </c>
      <c r="G396" s="23">
        <f t="shared" si="37"/>
        <v>5</v>
      </c>
      <c r="H396" s="24">
        <f t="shared" si="38"/>
        <v>58.333333333333336</v>
      </c>
      <c r="I396" s="25">
        <v>2981</v>
      </c>
      <c r="J396" s="26">
        <f t="shared" si="39"/>
        <v>7</v>
      </c>
      <c r="K396" s="21">
        <f>0.00085*1.8*I396*J396</f>
        <v>31.92651</v>
      </c>
      <c r="L396" s="38">
        <v>1.75</v>
      </c>
      <c r="M396" s="30">
        <v>5</v>
      </c>
      <c r="N396" s="28">
        <f t="shared" si="41"/>
        <v>5.3853020000000003</v>
      </c>
      <c r="O396" s="39">
        <f t="shared" si="42"/>
        <v>39.061812000000003</v>
      </c>
    </row>
    <row r="397" spans="1:15" x14ac:dyDescent="0.3">
      <c r="A397" s="31"/>
      <c r="B397" s="20">
        <v>0.60416666666666663</v>
      </c>
      <c r="C397" s="21">
        <v>37.700000000000003</v>
      </c>
      <c r="D397" s="33">
        <v>31.2</v>
      </c>
      <c r="E397" s="7">
        <v>26</v>
      </c>
      <c r="F397" s="11">
        <f t="shared" si="37"/>
        <v>6.5000000000000036</v>
      </c>
      <c r="G397" s="23">
        <f t="shared" si="37"/>
        <v>5.1999999999999993</v>
      </c>
      <c r="H397" s="24">
        <f t="shared" si="38"/>
        <v>55.555555555555571</v>
      </c>
      <c r="I397" s="25">
        <v>2904</v>
      </c>
      <c r="J397" s="26">
        <f t="shared" si="39"/>
        <v>6.5000000000000036</v>
      </c>
      <c r="K397" s="21">
        <f t="shared" si="40"/>
        <v>28.880280000000013</v>
      </c>
      <c r="L397" s="38">
        <v>1.75</v>
      </c>
      <c r="M397" s="30">
        <v>5</v>
      </c>
      <c r="N397" s="28">
        <f t="shared" si="41"/>
        <v>4.7760560000000023</v>
      </c>
      <c r="O397" s="39">
        <f t="shared" si="42"/>
        <v>35.406336000000017</v>
      </c>
    </row>
    <row r="398" spans="1:15" x14ac:dyDescent="0.3">
      <c r="A398" s="31"/>
      <c r="B398" s="20">
        <v>0.6875</v>
      </c>
      <c r="C398" s="21">
        <v>37.299999999999997</v>
      </c>
      <c r="D398" s="33">
        <v>31</v>
      </c>
      <c r="E398" s="7">
        <v>26</v>
      </c>
      <c r="F398" s="11">
        <f t="shared" si="37"/>
        <v>6.2999999999999972</v>
      </c>
      <c r="G398" s="23">
        <f t="shared" si="37"/>
        <v>5</v>
      </c>
      <c r="H398" s="24">
        <f t="shared" si="38"/>
        <v>55.752212389380517</v>
      </c>
      <c r="I398" s="25">
        <v>3000</v>
      </c>
      <c r="J398" s="26">
        <f t="shared" si="39"/>
        <v>6.2999999999999972</v>
      </c>
      <c r="K398" s="21">
        <f t="shared" si="40"/>
        <v>28.916999999999987</v>
      </c>
      <c r="L398" s="38">
        <v>1.75</v>
      </c>
      <c r="M398" s="30">
        <v>5</v>
      </c>
      <c r="N398" s="28">
        <f t="shared" si="41"/>
        <v>4.7833999999999977</v>
      </c>
      <c r="O398" s="39">
        <f t="shared" si="42"/>
        <v>35.450399999999988</v>
      </c>
    </row>
    <row r="399" spans="1:15" x14ac:dyDescent="0.3">
      <c r="A399" s="31"/>
      <c r="B399" s="20">
        <v>0.77083333333333337</v>
      </c>
      <c r="C399" s="21">
        <v>37.200000000000003</v>
      </c>
      <c r="D399" s="33">
        <v>31</v>
      </c>
      <c r="E399" s="7">
        <v>26</v>
      </c>
      <c r="F399" s="11">
        <f t="shared" si="37"/>
        <v>6.2000000000000028</v>
      </c>
      <c r="G399" s="23">
        <f t="shared" si="37"/>
        <v>5</v>
      </c>
      <c r="H399" s="24">
        <f t="shared" si="38"/>
        <v>55.357142857142868</v>
      </c>
      <c r="I399" s="25">
        <v>2996</v>
      </c>
      <c r="J399" s="26">
        <f t="shared" si="39"/>
        <v>6.2000000000000028</v>
      </c>
      <c r="K399" s="21">
        <f t="shared" si="40"/>
        <v>28.420056000000013</v>
      </c>
      <c r="L399" s="38">
        <v>1.75</v>
      </c>
      <c r="M399" s="30">
        <v>5</v>
      </c>
      <c r="N399" s="28">
        <f t="shared" si="41"/>
        <v>4.6840112000000023</v>
      </c>
      <c r="O399" s="39">
        <f t="shared" si="42"/>
        <v>34.854067200000017</v>
      </c>
    </row>
    <row r="400" spans="1:15" x14ac:dyDescent="0.3">
      <c r="A400" s="31"/>
      <c r="B400" s="20">
        <v>0.85416666666666663</v>
      </c>
      <c r="C400" s="21">
        <v>37.200000000000003</v>
      </c>
      <c r="D400" s="33">
        <v>31.2</v>
      </c>
      <c r="E400" s="7">
        <v>26</v>
      </c>
      <c r="F400" s="11">
        <f t="shared" si="37"/>
        <v>6.0000000000000036</v>
      </c>
      <c r="G400" s="23">
        <f t="shared" si="37"/>
        <v>5.1999999999999993</v>
      </c>
      <c r="H400" s="24">
        <f t="shared" si="38"/>
        <v>53.571428571428591</v>
      </c>
      <c r="I400" s="25">
        <v>2981</v>
      </c>
      <c r="J400" s="26">
        <f t="shared" si="39"/>
        <v>6.0000000000000036</v>
      </c>
      <c r="K400" s="21">
        <f t="shared" si="40"/>
        <v>27.365580000000016</v>
      </c>
      <c r="L400" s="38">
        <v>1.75</v>
      </c>
      <c r="M400" s="30">
        <v>5</v>
      </c>
      <c r="N400" s="28">
        <f t="shared" si="41"/>
        <v>4.4731160000000028</v>
      </c>
      <c r="O400" s="39">
        <f t="shared" si="42"/>
        <v>33.58869600000002</v>
      </c>
    </row>
    <row r="401" spans="1:15" x14ac:dyDescent="0.3">
      <c r="A401" s="31"/>
      <c r="B401" s="20">
        <v>0.9375</v>
      </c>
      <c r="C401" s="21">
        <v>36.6</v>
      </c>
      <c r="D401" s="33">
        <v>30.5</v>
      </c>
      <c r="E401" s="7">
        <v>26</v>
      </c>
      <c r="F401" s="11">
        <f t="shared" si="37"/>
        <v>6.1000000000000014</v>
      </c>
      <c r="G401" s="23">
        <f t="shared" si="37"/>
        <v>4.5</v>
      </c>
      <c r="H401" s="24">
        <f t="shared" si="38"/>
        <v>57.547169811320764</v>
      </c>
      <c r="I401" s="25">
        <v>3011</v>
      </c>
      <c r="J401" s="26">
        <f t="shared" si="39"/>
        <v>6.1000000000000014</v>
      </c>
      <c r="K401" s="21">
        <f>0.00085*1.8*I401*J401</f>
        <v>28.101663000000002</v>
      </c>
      <c r="L401" s="38">
        <v>1.75</v>
      </c>
      <c r="M401" s="30">
        <v>5</v>
      </c>
      <c r="N401" s="28">
        <f t="shared" si="41"/>
        <v>4.6203326000000002</v>
      </c>
      <c r="O401" s="39">
        <f t="shared" si="42"/>
        <v>34.4719956</v>
      </c>
    </row>
    <row r="402" spans="1:15" x14ac:dyDescent="0.3">
      <c r="A402" s="31"/>
      <c r="B402" s="20">
        <v>2.0833333333333332E-2</v>
      </c>
      <c r="C402" s="21">
        <v>36.9</v>
      </c>
      <c r="D402" s="33">
        <v>30.7</v>
      </c>
      <c r="E402" s="7">
        <v>26</v>
      </c>
      <c r="F402" s="11">
        <f t="shared" si="37"/>
        <v>6.1999999999999993</v>
      </c>
      <c r="G402" s="23">
        <f t="shared" si="37"/>
        <v>4.6999999999999993</v>
      </c>
      <c r="H402" s="24">
        <f t="shared" si="38"/>
        <v>56.88073394495413</v>
      </c>
      <c r="I402" s="25">
        <v>2896</v>
      </c>
      <c r="J402" s="26">
        <f t="shared" si="39"/>
        <v>6.1999999999999993</v>
      </c>
      <c r="K402" s="21">
        <f t="shared" si="40"/>
        <v>27.471455999999993</v>
      </c>
      <c r="L402" s="38">
        <v>1.75</v>
      </c>
      <c r="M402" s="30">
        <v>5</v>
      </c>
      <c r="N402" s="28">
        <f t="shared" si="41"/>
        <v>4.4942911999999984</v>
      </c>
      <c r="O402" s="39">
        <f t="shared" si="42"/>
        <v>33.715747199999988</v>
      </c>
    </row>
    <row r="403" spans="1:15" x14ac:dyDescent="0.3">
      <c r="A403" s="31"/>
      <c r="B403" s="20">
        <v>0.10416666666666667</v>
      </c>
      <c r="C403" s="21">
        <v>38.4</v>
      </c>
      <c r="D403" s="33">
        <v>32</v>
      </c>
      <c r="E403" s="7">
        <v>26</v>
      </c>
      <c r="F403" s="11">
        <f t="shared" si="37"/>
        <v>6.3999999999999986</v>
      </c>
      <c r="G403" s="23">
        <f t="shared" si="37"/>
        <v>6</v>
      </c>
      <c r="H403" s="24">
        <f t="shared" si="38"/>
        <v>51.612903225806448</v>
      </c>
      <c r="I403" s="25">
        <v>2963</v>
      </c>
      <c r="J403" s="26">
        <f t="shared" si="39"/>
        <v>6.3999999999999986</v>
      </c>
      <c r="K403" s="21">
        <f t="shared" si="40"/>
        <v>29.013695999999992</v>
      </c>
      <c r="L403" s="38">
        <v>1.75</v>
      </c>
      <c r="M403" s="30">
        <v>5</v>
      </c>
      <c r="N403" s="28">
        <f t="shared" si="41"/>
        <v>4.8027391999999987</v>
      </c>
      <c r="O403" s="39">
        <f t="shared" si="42"/>
        <v>35.566435199999994</v>
      </c>
    </row>
    <row r="404" spans="1:15" x14ac:dyDescent="0.3">
      <c r="A404" s="31"/>
      <c r="B404" s="20">
        <v>0.1875</v>
      </c>
      <c r="C404" s="21">
        <v>38.1</v>
      </c>
      <c r="D404" s="33">
        <v>31.8</v>
      </c>
      <c r="E404" s="7">
        <v>26</v>
      </c>
      <c r="F404" s="11">
        <f t="shared" si="37"/>
        <v>6.3000000000000007</v>
      </c>
      <c r="G404" s="23">
        <f t="shared" si="37"/>
        <v>5.8000000000000007</v>
      </c>
      <c r="H404" s="24">
        <f t="shared" si="38"/>
        <v>52.066115702479344</v>
      </c>
      <c r="I404" s="25">
        <v>2978</v>
      </c>
      <c r="J404" s="26">
        <f t="shared" si="39"/>
        <v>6.3000000000000007</v>
      </c>
      <c r="K404" s="21">
        <f t="shared" si="40"/>
        <v>28.704941999999999</v>
      </c>
      <c r="L404" s="38">
        <v>1.75</v>
      </c>
      <c r="M404" s="30">
        <v>5</v>
      </c>
      <c r="N404" s="28">
        <f t="shared" si="41"/>
        <v>4.7409884</v>
      </c>
      <c r="O404" s="39">
        <f t="shared" si="42"/>
        <v>35.195930400000002</v>
      </c>
    </row>
    <row r="405" spans="1:15" s="3" customFormat="1" x14ac:dyDescent="0.3">
      <c r="A405" s="34"/>
      <c r="B405" s="34"/>
      <c r="C405" s="34"/>
      <c r="D405" s="34"/>
      <c r="E405" s="34"/>
      <c r="F405" s="34"/>
      <c r="G405" s="34" t="s">
        <v>8</v>
      </c>
      <c r="H405" s="34">
        <f>AVERAGE(H393:H404)</f>
        <v>57.928681904151233</v>
      </c>
      <c r="I405" s="34"/>
      <c r="J405" s="34"/>
      <c r="K405" s="34">
        <f>AVERAGE(K393:K404)</f>
        <v>28.609125750000004</v>
      </c>
      <c r="L405" s="34"/>
      <c r="M405" s="34"/>
      <c r="N405" s="34">
        <f>AVERAGE(N393:N404)</f>
        <v>4.7218251499999999</v>
      </c>
      <c r="O405" s="34">
        <f>AVERAGE(O393:O404)</f>
        <v>35.080950900000012</v>
      </c>
    </row>
  </sheetData>
  <autoFilter ref="H2:H405" xr:uid="{614778EF-C496-4327-A735-37E4F09B9FA9}"/>
  <mergeCells count="3">
    <mergeCell ref="A16:A27"/>
    <mergeCell ref="A1:S1"/>
    <mergeCell ref="A42:A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20C9-C7FF-42ED-930E-097545B873FB}">
  <dimension ref="A1:O366"/>
  <sheetViews>
    <sheetView topLeftCell="A8" zoomScale="72" zoomScaleNormal="130" workbookViewId="0">
      <selection activeCell="I48" sqref="I48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24.109375" bestFit="1" customWidth="1"/>
    <col min="4" max="4" width="25.109375" bestFit="1" customWidth="1"/>
    <col min="5" max="5" width="4.88671875" bestFit="1" customWidth="1"/>
    <col min="6" max="6" width="6.77734375" bestFit="1" customWidth="1"/>
    <col min="7" max="7" width="10" bestFit="1" customWidth="1"/>
    <col min="8" max="8" width="10.44140625" bestFit="1" customWidth="1"/>
    <col min="9" max="9" width="19" bestFit="1" customWidth="1"/>
    <col min="10" max="10" width="24.21875" bestFit="1" customWidth="1"/>
    <col min="11" max="11" width="19.109375" customWidth="1"/>
    <col min="12" max="12" width="10.21875" bestFit="1" customWidth="1"/>
    <col min="13" max="13" width="12.21875" bestFit="1" customWidth="1"/>
    <col min="14" max="14" width="17.44140625" bestFit="1" customWidth="1"/>
    <col min="15" max="15" width="15.6640625" bestFit="1" customWidth="1"/>
  </cols>
  <sheetData>
    <row r="1" spans="1:15" s="46" customFormat="1" ht="26.4" customHeight="1" x14ac:dyDescent="0.35">
      <c r="A1" s="45" t="s">
        <v>20</v>
      </c>
    </row>
    <row r="2" spans="1:15" x14ac:dyDescent="0.3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1" t="s">
        <v>5</v>
      </c>
      <c r="G2" s="12" t="s">
        <v>6</v>
      </c>
      <c r="H2" s="7" t="s">
        <v>7</v>
      </c>
      <c r="I2" s="13" t="s">
        <v>9</v>
      </c>
      <c r="J2" s="14" t="s">
        <v>10</v>
      </c>
      <c r="K2" s="8" t="s">
        <v>11</v>
      </c>
      <c r="L2" s="15" t="s">
        <v>12</v>
      </c>
      <c r="M2" s="42" t="s">
        <v>15</v>
      </c>
      <c r="N2" s="37" t="s">
        <v>16</v>
      </c>
      <c r="O2" s="43" t="s">
        <v>13</v>
      </c>
    </row>
    <row r="3" spans="1:15" x14ac:dyDescent="0.3">
      <c r="A3" s="19">
        <v>44593</v>
      </c>
      <c r="B3" s="20">
        <v>0.27083333333333331</v>
      </c>
      <c r="C3" s="21">
        <v>37.700000000000003</v>
      </c>
      <c r="D3" s="33">
        <v>31.2</v>
      </c>
      <c r="E3" s="7">
        <v>26</v>
      </c>
      <c r="F3" s="11">
        <f>C3-D3</f>
        <v>6.5000000000000036</v>
      </c>
      <c r="G3" s="23">
        <f>D3-E3</f>
        <v>5.1999999999999993</v>
      </c>
      <c r="H3" s="24">
        <f>(F3/(F3+G3))*100</f>
        <v>55.555555555555571</v>
      </c>
      <c r="I3" s="25">
        <v>2921</v>
      </c>
      <c r="J3" s="26">
        <f>C3-D3</f>
        <v>6.5000000000000036</v>
      </c>
      <c r="K3" s="21">
        <f>0.00085*1.8*I3*J3</f>
        <v>29.049345000000013</v>
      </c>
      <c r="L3" s="38">
        <v>1.75</v>
      </c>
      <c r="M3" s="30">
        <v>5</v>
      </c>
      <c r="N3" s="16">
        <f>K3/M3-1</f>
        <v>4.8098690000000026</v>
      </c>
      <c r="O3" s="13">
        <f>K3+L3+N3</f>
        <v>35.609214000000016</v>
      </c>
    </row>
    <row r="4" spans="1:15" x14ac:dyDescent="0.3">
      <c r="A4" s="19"/>
      <c r="B4" s="20">
        <v>0.35416666666666669</v>
      </c>
      <c r="C4" s="21">
        <v>38.1</v>
      </c>
      <c r="D4" s="33">
        <v>31.8</v>
      </c>
      <c r="E4" s="7">
        <v>26</v>
      </c>
      <c r="F4" s="11">
        <f t="shared" ref="F4:G66" si="0">C4-D4</f>
        <v>6.3000000000000007</v>
      </c>
      <c r="G4" s="23">
        <f t="shared" ref="G4:G14" si="1">D4-E4</f>
        <v>5.8000000000000007</v>
      </c>
      <c r="H4" s="24">
        <f t="shared" ref="H4:H66" si="2">(F4/(F4+G4))*100</f>
        <v>52.066115702479344</v>
      </c>
      <c r="I4" s="25">
        <v>2996</v>
      </c>
      <c r="J4" s="26">
        <f t="shared" ref="J4:J66" si="3">C4-D4</f>
        <v>6.3000000000000007</v>
      </c>
      <c r="K4" s="21">
        <f t="shared" ref="K4:K66" si="4">0.00085*1.8*I4*J4</f>
        <v>28.878444000000002</v>
      </c>
      <c r="L4" s="38">
        <v>1.75</v>
      </c>
      <c r="M4" s="30">
        <v>5</v>
      </c>
      <c r="N4" s="16">
        <f t="shared" ref="N4:N66" si="5">K4/M4-1</f>
        <v>4.7756888000000002</v>
      </c>
      <c r="O4" s="13">
        <f t="shared" ref="O4:O66" si="6">K4+L4+N4</f>
        <v>35.404132799999999</v>
      </c>
    </row>
    <row r="5" spans="1:15" x14ac:dyDescent="0.3">
      <c r="A5" s="19"/>
      <c r="B5" s="20">
        <v>0.4375</v>
      </c>
      <c r="C5" s="21">
        <v>39.6</v>
      </c>
      <c r="D5" s="33">
        <v>33.1</v>
      </c>
      <c r="E5" s="7">
        <v>26</v>
      </c>
      <c r="F5" s="11">
        <f t="shared" si="0"/>
        <v>6.5</v>
      </c>
      <c r="G5" s="23">
        <f t="shared" si="1"/>
        <v>7.1000000000000014</v>
      </c>
      <c r="H5" s="24">
        <f t="shared" si="2"/>
        <v>47.794117647058819</v>
      </c>
      <c r="I5" s="25">
        <v>2958</v>
      </c>
      <c r="J5" s="26">
        <f t="shared" si="3"/>
        <v>6.5</v>
      </c>
      <c r="K5" s="21">
        <f t="shared" si="4"/>
        <v>29.417310000000001</v>
      </c>
      <c r="L5" s="38">
        <v>1.75</v>
      </c>
      <c r="M5" s="30">
        <v>5</v>
      </c>
      <c r="N5" s="16">
        <f t="shared" si="5"/>
        <v>4.8834619999999997</v>
      </c>
      <c r="O5" s="13">
        <f t="shared" si="6"/>
        <v>36.050772000000002</v>
      </c>
    </row>
    <row r="6" spans="1:15" x14ac:dyDescent="0.3">
      <c r="A6" s="19"/>
      <c r="B6" s="20">
        <v>0.52083333333333337</v>
      </c>
      <c r="C6" s="21">
        <v>40.799999999999997</v>
      </c>
      <c r="D6" s="33">
        <v>34.200000000000003</v>
      </c>
      <c r="E6" s="7">
        <v>26</v>
      </c>
      <c r="F6" s="11">
        <f t="shared" si="0"/>
        <v>6.5999999999999943</v>
      </c>
      <c r="G6" s="23">
        <f t="shared" si="1"/>
        <v>8.2000000000000028</v>
      </c>
      <c r="H6" s="24">
        <f t="shared" si="2"/>
        <v>44.594594594594568</v>
      </c>
      <c r="I6" s="25">
        <v>3030</v>
      </c>
      <c r="J6" s="26">
        <f t="shared" si="3"/>
        <v>6.5999999999999943</v>
      </c>
      <c r="K6" s="21">
        <f t="shared" si="4"/>
        <v>30.596939999999972</v>
      </c>
      <c r="L6" s="38">
        <v>1.75</v>
      </c>
      <c r="M6" s="30">
        <v>5</v>
      </c>
      <c r="N6" s="16">
        <f t="shared" si="5"/>
        <v>5.1193879999999945</v>
      </c>
      <c r="O6" s="13">
        <f t="shared" si="6"/>
        <v>37.466327999999969</v>
      </c>
    </row>
    <row r="7" spans="1:15" x14ac:dyDescent="0.3">
      <c r="A7" s="19"/>
      <c r="B7" s="20">
        <v>0.60416666666666663</v>
      </c>
      <c r="C7" s="21">
        <v>40.5</v>
      </c>
      <c r="D7" s="33">
        <v>34.1</v>
      </c>
      <c r="E7" s="7">
        <v>26</v>
      </c>
      <c r="F7" s="11">
        <f t="shared" si="0"/>
        <v>6.3999999999999986</v>
      </c>
      <c r="G7" s="23">
        <f t="shared" si="1"/>
        <v>8.1000000000000014</v>
      </c>
      <c r="H7" s="24">
        <f t="shared" si="2"/>
        <v>44.137931034482747</v>
      </c>
      <c r="I7" s="25">
        <v>3038</v>
      </c>
      <c r="J7" s="26">
        <f t="shared" si="3"/>
        <v>6.3999999999999986</v>
      </c>
      <c r="K7" s="21">
        <f t="shared" si="4"/>
        <v>29.748095999999993</v>
      </c>
      <c r="L7" s="38">
        <v>1.75</v>
      </c>
      <c r="M7" s="30">
        <v>5</v>
      </c>
      <c r="N7" s="16">
        <f t="shared" si="5"/>
        <v>4.949619199999999</v>
      </c>
      <c r="O7" s="13">
        <f t="shared" si="6"/>
        <v>36.44771519999999</v>
      </c>
    </row>
    <row r="8" spans="1:15" x14ac:dyDescent="0.3">
      <c r="A8" s="19"/>
      <c r="B8" s="20">
        <v>0.6875</v>
      </c>
      <c r="C8" s="21">
        <v>40.200000000000003</v>
      </c>
      <c r="D8" s="33">
        <v>33.700000000000003</v>
      </c>
      <c r="E8" s="7">
        <v>26</v>
      </c>
      <c r="F8" s="11">
        <f t="shared" si="0"/>
        <v>6.5</v>
      </c>
      <c r="G8" s="23">
        <f t="shared" si="1"/>
        <v>7.7000000000000028</v>
      </c>
      <c r="H8" s="24">
        <f t="shared" si="2"/>
        <v>45.77464788732393</v>
      </c>
      <c r="I8" s="25"/>
      <c r="J8" s="26">
        <f t="shared" si="3"/>
        <v>6.5</v>
      </c>
      <c r="K8" s="21">
        <f t="shared" si="4"/>
        <v>0</v>
      </c>
      <c r="L8" s="38">
        <v>1.75</v>
      </c>
      <c r="M8" s="30">
        <v>5</v>
      </c>
      <c r="N8" s="16">
        <f t="shared" si="5"/>
        <v>-1</v>
      </c>
      <c r="O8" s="13">
        <f t="shared" si="6"/>
        <v>0.75</v>
      </c>
    </row>
    <row r="9" spans="1:15" x14ac:dyDescent="0.3">
      <c r="A9" s="19"/>
      <c r="B9" s="20">
        <v>0.77083333333333337</v>
      </c>
      <c r="C9" s="21">
        <v>40.299999999999997</v>
      </c>
      <c r="D9" s="33">
        <v>33.700000000000003</v>
      </c>
      <c r="E9" s="7">
        <v>26</v>
      </c>
      <c r="F9" s="11">
        <f t="shared" si="0"/>
        <v>6.5999999999999943</v>
      </c>
      <c r="G9" s="23">
        <f t="shared" si="1"/>
        <v>7.7000000000000028</v>
      </c>
      <c r="H9" s="24">
        <f t="shared" si="2"/>
        <v>46.153846153846125</v>
      </c>
      <c r="I9" s="25">
        <v>2873</v>
      </c>
      <c r="J9" s="26">
        <f t="shared" si="3"/>
        <v>6.5999999999999943</v>
      </c>
      <c r="K9" s="21">
        <f t="shared" si="4"/>
        <v>29.011553999999975</v>
      </c>
      <c r="L9" s="38">
        <v>1.75</v>
      </c>
      <c r="M9" s="30">
        <v>5</v>
      </c>
      <c r="N9" s="16">
        <f t="shared" si="5"/>
        <v>4.8023107999999954</v>
      </c>
      <c r="O9" s="13">
        <f t="shared" si="6"/>
        <v>35.563864799999969</v>
      </c>
    </row>
    <row r="10" spans="1:15" x14ac:dyDescent="0.3">
      <c r="A10" s="19"/>
      <c r="B10" s="20">
        <v>0.85416666666666663</v>
      </c>
      <c r="C10" s="21">
        <v>39.700000000000003</v>
      </c>
      <c r="D10" s="33">
        <v>33.4</v>
      </c>
      <c r="E10" s="7">
        <v>26</v>
      </c>
      <c r="F10" s="11">
        <f t="shared" si="0"/>
        <v>6.3000000000000043</v>
      </c>
      <c r="G10" s="23">
        <f t="shared" si="1"/>
        <v>7.3999999999999986</v>
      </c>
      <c r="H10" s="24">
        <f t="shared" si="2"/>
        <v>45.985401459854039</v>
      </c>
      <c r="I10" s="25">
        <v>2934</v>
      </c>
      <c r="J10" s="26">
        <f t="shared" si="3"/>
        <v>6.3000000000000043</v>
      </c>
      <c r="K10" s="21">
        <f t="shared" si="4"/>
        <v>28.280826000000019</v>
      </c>
      <c r="L10" s="38">
        <v>1.75</v>
      </c>
      <c r="M10" s="30">
        <v>5</v>
      </c>
      <c r="N10" s="16">
        <f t="shared" si="5"/>
        <v>4.6561652000000038</v>
      </c>
      <c r="O10" s="13">
        <f t="shared" si="6"/>
        <v>34.686991200000023</v>
      </c>
    </row>
    <row r="11" spans="1:15" x14ac:dyDescent="0.3">
      <c r="A11" s="19"/>
      <c r="B11" s="20">
        <v>0.9375</v>
      </c>
      <c r="C11" s="21">
        <v>39.200000000000003</v>
      </c>
      <c r="D11" s="33">
        <v>33</v>
      </c>
      <c r="E11" s="7">
        <v>26</v>
      </c>
      <c r="F11" s="11">
        <f t="shared" si="0"/>
        <v>6.2000000000000028</v>
      </c>
      <c r="G11" s="23">
        <f t="shared" si="1"/>
        <v>7</v>
      </c>
      <c r="H11" s="24">
        <f t="shared" si="2"/>
        <v>46.969696969696983</v>
      </c>
      <c r="I11" s="25">
        <v>2545</v>
      </c>
      <c r="J11" s="26">
        <f t="shared" si="3"/>
        <v>6.2000000000000028</v>
      </c>
      <c r="K11" s="21">
        <f t="shared" si="4"/>
        <v>24.141870000000008</v>
      </c>
      <c r="L11" s="38">
        <v>1.75</v>
      </c>
      <c r="M11" s="30">
        <v>5</v>
      </c>
      <c r="N11" s="16">
        <f t="shared" si="5"/>
        <v>3.8283740000000019</v>
      </c>
      <c r="O11" s="13">
        <f t="shared" si="6"/>
        <v>29.720244000000008</v>
      </c>
    </row>
    <row r="12" spans="1:15" x14ac:dyDescent="0.3">
      <c r="A12" s="19"/>
      <c r="B12" s="20">
        <v>2.0833333333333332E-2</v>
      </c>
      <c r="C12" s="21">
        <v>40.5</v>
      </c>
      <c r="D12" s="33">
        <v>33.6</v>
      </c>
      <c r="E12" s="7">
        <v>26</v>
      </c>
      <c r="F12" s="11">
        <f t="shared" si="0"/>
        <v>6.8999999999999986</v>
      </c>
      <c r="G12" s="23">
        <f t="shared" si="1"/>
        <v>7.6000000000000014</v>
      </c>
      <c r="H12" s="24">
        <f t="shared" si="2"/>
        <v>47.586206896551715</v>
      </c>
      <c r="I12" s="25">
        <v>2083</v>
      </c>
      <c r="J12" s="26">
        <f t="shared" si="3"/>
        <v>6.8999999999999986</v>
      </c>
      <c r="K12" s="21">
        <f t="shared" si="4"/>
        <v>21.990230999999994</v>
      </c>
      <c r="L12" s="38">
        <v>1.75</v>
      </c>
      <c r="M12" s="30">
        <v>5</v>
      </c>
      <c r="N12" s="16">
        <f t="shared" si="5"/>
        <v>3.3980461999999987</v>
      </c>
      <c r="O12" s="13">
        <f t="shared" si="6"/>
        <v>27.138277199999994</v>
      </c>
    </row>
    <row r="13" spans="1:15" x14ac:dyDescent="0.3">
      <c r="A13" s="19"/>
      <c r="B13" s="20">
        <v>0.10416666666666667</v>
      </c>
      <c r="C13" s="21">
        <v>41</v>
      </c>
      <c r="D13" s="33">
        <v>34</v>
      </c>
      <c r="E13" s="7">
        <v>26</v>
      </c>
      <c r="F13" s="11">
        <f t="shared" si="0"/>
        <v>7</v>
      </c>
      <c r="G13" s="23">
        <f t="shared" si="1"/>
        <v>8</v>
      </c>
      <c r="H13" s="24">
        <f t="shared" si="2"/>
        <v>46.666666666666664</v>
      </c>
      <c r="I13" s="25">
        <v>2941</v>
      </c>
      <c r="J13" s="26">
        <f t="shared" si="3"/>
        <v>7</v>
      </c>
      <c r="K13" s="21">
        <f t="shared" si="4"/>
        <v>31.498109999999997</v>
      </c>
      <c r="L13" s="38">
        <v>1.75</v>
      </c>
      <c r="M13" s="30">
        <v>5</v>
      </c>
      <c r="N13" s="16">
        <f t="shared" si="5"/>
        <v>5.2996219999999994</v>
      </c>
      <c r="O13" s="13">
        <f t="shared" si="6"/>
        <v>38.547731999999996</v>
      </c>
    </row>
    <row r="14" spans="1:15" x14ac:dyDescent="0.3">
      <c r="A14" s="19"/>
      <c r="B14" s="20">
        <v>0.1875</v>
      </c>
      <c r="C14" s="21">
        <v>40.9</v>
      </c>
      <c r="D14" s="33">
        <v>33.799999999999997</v>
      </c>
      <c r="E14" s="7">
        <v>26</v>
      </c>
      <c r="F14" s="11">
        <f t="shared" si="0"/>
        <v>7.1000000000000014</v>
      </c>
      <c r="G14" s="23">
        <f t="shared" si="1"/>
        <v>7.7999999999999972</v>
      </c>
      <c r="H14" s="24">
        <f t="shared" si="2"/>
        <v>47.651006711409408</v>
      </c>
      <c r="I14" s="25">
        <v>2902</v>
      </c>
      <c r="J14" s="26">
        <f t="shared" si="3"/>
        <v>7.1000000000000014</v>
      </c>
      <c r="K14" s="21">
        <f t="shared" si="4"/>
        <v>31.524426000000005</v>
      </c>
      <c r="L14" s="38">
        <v>1.75</v>
      </c>
      <c r="M14" s="30">
        <v>5</v>
      </c>
      <c r="N14" s="16">
        <f t="shared" si="5"/>
        <v>5.3048852000000011</v>
      </c>
      <c r="O14" s="13">
        <f t="shared" si="6"/>
        <v>38.579311200000006</v>
      </c>
    </row>
    <row r="15" spans="1:15" s="3" customFormat="1" x14ac:dyDescent="0.3">
      <c r="A15" s="34"/>
      <c r="B15" s="34"/>
      <c r="C15" s="34"/>
      <c r="D15" s="34"/>
      <c r="E15" s="34"/>
      <c r="F15" s="34"/>
      <c r="G15" s="34" t="s">
        <v>8</v>
      </c>
      <c r="H15" s="34">
        <f>AVERAGE(H3:H14)</f>
        <v>47.577982273293323</v>
      </c>
      <c r="I15" s="34"/>
      <c r="J15" s="34"/>
      <c r="K15" s="34">
        <f>AVERAGE(K3:K14)</f>
        <v>26.178096</v>
      </c>
      <c r="L15" s="34"/>
      <c r="M15" s="34"/>
      <c r="N15" s="34">
        <f>AVERAGE(N3:N14)</f>
        <v>4.2356191999999995</v>
      </c>
      <c r="O15" s="34">
        <f>AVERAGE(O3:O14)</f>
        <v>32.163715199999999</v>
      </c>
    </row>
    <row r="16" spans="1:15" x14ac:dyDescent="0.3">
      <c r="A16" s="40">
        <v>44594</v>
      </c>
      <c r="B16" s="20">
        <v>0.27083333333333331</v>
      </c>
      <c r="C16" s="21">
        <v>40.4</v>
      </c>
      <c r="D16" s="33">
        <v>33.4</v>
      </c>
      <c r="E16" s="7">
        <v>26</v>
      </c>
      <c r="F16" s="11">
        <f t="shared" si="0"/>
        <v>7</v>
      </c>
      <c r="G16" s="23">
        <f>D16-E16</f>
        <v>7.3999999999999986</v>
      </c>
      <c r="H16" s="24">
        <f t="shared" si="2"/>
        <v>48.611111111111114</v>
      </c>
      <c r="I16" s="25">
        <v>2943</v>
      </c>
      <c r="J16" s="26">
        <f t="shared" si="3"/>
        <v>7</v>
      </c>
      <c r="K16" s="21">
        <f t="shared" si="4"/>
        <v>31.51953</v>
      </c>
      <c r="L16" s="38">
        <v>1.75</v>
      </c>
      <c r="M16" s="30">
        <v>5</v>
      </c>
      <c r="N16" s="16">
        <f t="shared" si="5"/>
        <v>5.3039059999999996</v>
      </c>
      <c r="O16" s="13">
        <f t="shared" si="6"/>
        <v>38.573436000000001</v>
      </c>
    </row>
    <row r="17" spans="1:15" x14ac:dyDescent="0.3">
      <c r="A17" s="41"/>
      <c r="B17" s="20">
        <v>0.35416666666666669</v>
      </c>
      <c r="C17" s="21">
        <v>40.1</v>
      </c>
      <c r="D17" s="33">
        <v>32.9</v>
      </c>
      <c r="E17" s="7">
        <v>26</v>
      </c>
      <c r="F17" s="11">
        <f t="shared" si="0"/>
        <v>7.2000000000000028</v>
      </c>
      <c r="G17" s="23">
        <f t="shared" si="0"/>
        <v>6.8999999999999986</v>
      </c>
      <c r="H17" s="24">
        <f t="shared" si="2"/>
        <v>51.063829787234063</v>
      </c>
      <c r="I17" s="25">
        <v>2894</v>
      </c>
      <c r="J17" s="26">
        <f t="shared" si="3"/>
        <v>7.2000000000000028</v>
      </c>
      <c r="K17" s="21">
        <f t="shared" si="4"/>
        <v>31.88030400000001</v>
      </c>
      <c r="L17" s="38">
        <v>1.75</v>
      </c>
      <c r="M17" s="30">
        <v>5</v>
      </c>
      <c r="N17" s="16">
        <f t="shared" si="5"/>
        <v>5.3760608000000021</v>
      </c>
      <c r="O17" s="13">
        <f t="shared" si="6"/>
        <v>39.006364800000014</v>
      </c>
    </row>
    <row r="18" spans="1:15" x14ac:dyDescent="0.3">
      <c r="A18" s="41"/>
      <c r="B18" s="20">
        <v>0.4375</v>
      </c>
      <c r="C18" s="21">
        <v>40.799999999999997</v>
      </c>
      <c r="D18" s="33">
        <v>33.700000000000003</v>
      </c>
      <c r="E18" s="7">
        <v>26</v>
      </c>
      <c r="F18" s="11">
        <f t="shared" si="0"/>
        <v>7.0999999999999943</v>
      </c>
      <c r="G18" s="23">
        <f t="shared" si="0"/>
        <v>7.7000000000000028</v>
      </c>
      <c r="H18" s="24">
        <f t="shared" si="2"/>
        <v>47.972972972972947</v>
      </c>
      <c r="I18" s="25">
        <v>2925</v>
      </c>
      <c r="J18" s="26">
        <f t="shared" si="3"/>
        <v>7.0999999999999943</v>
      </c>
      <c r="K18" s="21">
        <f t="shared" si="4"/>
        <v>31.774274999999975</v>
      </c>
      <c r="L18" s="38">
        <v>1.75</v>
      </c>
      <c r="M18" s="30">
        <v>5</v>
      </c>
      <c r="N18" s="16">
        <f t="shared" si="5"/>
        <v>5.3548549999999953</v>
      </c>
      <c r="O18" s="13">
        <f t="shared" si="6"/>
        <v>38.879129999999968</v>
      </c>
    </row>
    <row r="19" spans="1:15" x14ac:dyDescent="0.3">
      <c r="A19" s="41"/>
      <c r="B19" s="20">
        <v>0.52083333333333337</v>
      </c>
      <c r="C19" s="21">
        <v>41</v>
      </c>
      <c r="D19" s="33">
        <v>34</v>
      </c>
      <c r="E19" s="7">
        <v>26</v>
      </c>
      <c r="F19" s="11">
        <f t="shared" si="0"/>
        <v>7</v>
      </c>
      <c r="G19" s="23">
        <f t="shared" si="0"/>
        <v>8</v>
      </c>
      <c r="H19" s="24">
        <f t="shared" si="2"/>
        <v>46.666666666666664</v>
      </c>
      <c r="I19" s="25">
        <v>2911</v>
      </c>
      <c r="J19" s="26">
        <f t="shared" si="3"/>
        <v>7</v>
      </c>
      <c r="K19" s="21">
        <f t="shared" si="4"/>
        <v>31.17681</v>
      </c>
      <c r="L19" s="38">
        <v>1.75</v>
      </c>
      <c r="M19" s="30">
        <v>5</v>
      </c>
      <c r="N19" s="16">
        <f t="shared" si="5"/>
        <v>5.2353620000000003</v>
      </c>
      <c r="O19" s="13">
        <f t="shared" si="6"/>
        <v>38.162172000000005</v>
      </c>
    </row>
    <row r="20" spans="1:15" x14ac:dyDescent="0.3">
      <c r="A20" s="41"/>
      <c r="B20" s="20">
        <v>0.60416666666666663</v>
      </c>
      <c r="C20" s="21">
        <v>40.1</v>
      </c>
      <c r="D20" s="33">
        <v>33</v>
      </c>
      <c r="E20" s="7">
        <v>26</v>
      </c>
      <c r="F20" s="11">
        <f t="shared" si="0"/>
        <v>7.1000000000000014</v>
      </c>
      <c r="G20" s="23">
        <f t="shared" si="0"/>
        <v>7</v>
      </c>
      <c r="H20" s="24">
        <f t="shared" si="2"/>
        <v>50.354609929078023</v>
      </c>
      <c r="I20" s="25">
        <v>2841</v>
      </c>
      <c r="J20" s="26">
        <f t="shared" si="3"/>
        <v>7.1000000000000014</v>
      </c>
      <c r="K20" s="21">
        <f t="shared" si="4"/>
        <v>30.861783000000006</v>
      </c>
      <c r="L20" s="38">
        <v>1.75</v>
      </c>
      <c r="M20" s="30">
        <v>5</v>
      </c>
      <c r="N20" s="16">
        <f t="shared" si="5"/>
        <v>5.1723566000000014</v>
      </c>
      <c r="O20" s="13">
        <f t="shared" si="6"/>
        <v>37.784139600000003</v>
      </c>
    </row>
    <row r="21" spans="1:15" x14ac:dyDescent="0.3">
      <c r="A21" s="41"/>
      <c r="B21" s="20">
        <v>0.6875</v>
      </c>
      <c r="C21" s="21">
        <v>40.1</v>
      </c>
      <c r="D21" s="33">
        <v>32</v>
      </c>
      <c r="E21" s="7">
        <v>26</v>
      </c>
      <c r="F21" s="11">
        <f t="shared" si="0"/>
        <v>8.1000000000000014</v>
      </c>
      <c r="G21" s="23">
        <f t="shared" si="0"/>
        <v>6</v>
      </c>
      <c r="H21" s="24">
        <f t="shared" si="2"/>
        <v>57.446808510638306</v>
      </c>
      <c r="I21" s="25">
        <v>2881</v>
      </c>
      <c r="J21" s="26">
        <f t="shared" si="3"/>
        <v>8.1000000000000014</v>
      </c>
      <c r="K21" s="21">
        <f t="shared" si="4"/>
        <v>35.704233000000002</v>
      </c>
      <c r="L21" s="38">
        <v>1.75</v>
      </c>
      <c r="M21" s="30">
        <v>5</v>
      </c>
      <c r="N21" s="16">
        <f t="shared" si="5"/>
        <v>6.1408466000000006</v>
      </c>
      <c r="O21" s="13">
        <f t="shared" si="6"/>
        <v>43.595079600000005</v>
      </c>
    </row>
    <row r="22" spans="1:15" x14ac:dyDescent="0.3">
      <c r="A22" s="41"/>
      <c r="B22" s="20">
        <v>0.77083333333333337</v>
      </c>
      <c r="C22" s="21">
        <v>40.1</v>
      </c>
      <c r="D22" s="33">
        <v>33</v>
      </c>
      <c r="E22" s="7">
        <v>26</v>
      </c>
      <c r="F22" s="11">
        <f t="shared" si="0"/>
        <v>7.1000000000000014</v>
      </c>
      <c r="G22" s="23">
        <f t="shared" si="0"/>
        <v>7</v>
      </c>
      <c r="H22" s="24">
        <f t="shared" si="2"/>
        <v>50.354609929078023</v>
      </c>
      <c r="I22" s="25">
        <v>2931</v>
      </c>
      <c r="J22" s="26">
        <f t="shared" si="3"/>
        <v>7.1000000000000014</v>
      </c>
      <c r="K22" s="21">
        <f t="shared" si="4"/>
        <v>31.839453000000002</v>
      </c>
      <c r="L22" s="38">
        <v>1.75</v>
      </c>
      <c r="M22" s="30">
        <v>5</v>
      </c>
      <c r="N22" s="16">
        <f t="shared" si="5"/>
        <v>5.3678906000000008</v>
      </c>
      <c r="O22" s="13">
        <f t="shared" si="6"/>
        <v>38.957343600000009</v>
      </c>
    </row>
    <row r="23" spans="1:15" x14ac:dyDescent="0.3">
      <c r="A23" s="41"/>
      <c r="B23" s="20">
        <v>0.85416666666666663</v>
      </c>
      <c r="C23" s="21">
        <v>40.1</v>
      </c>
      <c r="D23" s="33">
        <v>33</v>
      </c>
      <c r="E23" s="7">
        <v>26</v>
      </c>
      <c r="F23" s="11">
        <f t="shared" si="0"/>
        <v>7.1000000000000014</v>
      </c>
      <c r="G23" s="23">
        <f t="shared" si="0"/>
        <v>7</v>
      </c>
      <c r="H23" s="24">
        <f t="shared" si="2"/>
        <v>50.354609929078023</v>
      </c>
      <c r="I23" s="25">
        <v>2891</v>
      </c>
      <c r="J23" s="26">
        <f t="shared" si="3"/>
        <v>7.1000000000000014</v>
      </c>
      <c r="K23" s="21">
        <f t="shared" si="4"/>
        <v>31.404933</v>
      </c>
      <c r="L23" s="38">
        <v>1.75</v>
      </c>
      <c r="M23" s="30">
        <v>5</v>
      </c>
      <c r="N23" s="16">
        <f t="shared" si="5"/>
        <v>5.2809866000000003</v>
      </c>
      <c r="O23" s="13">
        <f t="shared" si="6"/>
        <v>38.435919599999998</v>
      </c>
    </row>
    <row r="24" spans="1:15" x14ac:dyDescent="0.3">
      <c r="A24" s="41"/>
      <c r="B24" s="20">
        <v>0.9375</v>
      </c>
      <c r="C24" s="21">
        <v>41.2</v>
      </c>
      <c r="D24" s="33">
        <v>34</v>
      </c>
      <c r="E24" s="7">
        <v>26</v>
      </c>
      <c r="F24" s="11">
        <f t="shared" si="0"/>
        <v>7.2000000000000028</v>
      </c>
      <c r="G24" s="23">
        <f t="shared" si="0"/>
        <v>8</v>
      </c>
      <c r="H24" s="24">
        <f t="shared" si="2"/>
        <v>47.368421052631589</v>
      </c>
      <c r="I24" s="25">
        <v>2889</v>
      </c>
      <c r="J24" s="26">
        <f t="shared" si="3"/>
        <v>7.2000000000000028</v>
      </c>
      <c r="K24" s="21">
        <f t="shared" si="4"/>
        <v>31.825224000000009</v>
      </c>
      <c r="L24" s="38">
        <v>1.75</v>
      </c>
      <c r="M24" s="30">
        <v>5</v>
      </c>
      <c r="N24" s="16">
        <f t="shared" si="5"/>
        <v>5.3650448000000015</v>
      </c>
      <c r="O24" s="13">
        <f t="shared" si="6"/>
        <v>38.940268800000005</v>
      </c>
    </row>
    <row r="25" spans="1:15" x14ac:dyDescent="0.3">
      <c r="A25" s="41"/>
      <c r="B25" s="20">
        <v>2.0833333333333332E-2</v>
      </c>
      <c r="C25" s="21">
        <v>40.700000000000003</v>
      </c>
      <c r="D25" s="33">
        <v>33.9</v>
      </c>
      <c r="E25" s="7">
        <v>26</v>
      </c>
      <c r="F25" s="11">
        <f t="shared" si="0"/>
        <v>6.8000000000000043</v>
      </c>
      <c r="G25" s="23">
        <f t="shared" si="0"/>
        <v>7.8999999999999986</v>
      </c>
      <c r="H25" s="24">
        <f t="shared" si="2"/>
        <v>46.258503401360564</v>
      </c>
      <c r="I25" s="25">
        <v>2978</v>
      </c>
      <c r="J25" s="26">
        <f t="shared" si="3"/>
        <v>6.8000000000000043</v>
      </c>
      <c r="K25" s="21">
        <f t="shared" si="4"/>
        <v>30.983112000000016</v>
      </c>
      <c r="L25" s="38">
        <v>1.75</v>
      </c>
      <c r="M25" s="30">
        <v>5</v>
      </c>
      <c r="N25" s="16">
        <f t="shared" si="5"/>
        <v>5.1966224000000034</v>
      </c>
      <c r="O25" s="13">
        <f t="shared" si="6"/>
        <v>37.929734400000022</v>
      </c>
    </row>
    <row r="26" spans="1:15" x14ac:dyDescent="0.3">
      <c r="A26" s="41"/>
      <c r="B26" s="20">
        <v>0.10416666666666667</v>
      </c>
      <c r="C26" s="21">
        <v>40.1</v>
      </c>
      <c r="D26" s="33">
        <v>33.5</v>
      </c>
      <c r="E26" s="7">
        <v>26</v>
      </c>
      <c r="F26" s="11">
        <f t="shared" si="0"/>
        <v>6.6000000000000014</v>
      </c>
      <c r="G26" s="23">
        <f t="shared" si="0"/>
        <v>7.5</v>
      </c>
      <c r="H26" s="24">
        <f t="shared" si="2"/>
        <v>46.808510638297882</v>
      </c>
      <c r="I26" s="25">
        <v>2846</v>
      </c>
      <c r="J26" s="26">
        <f t="shared" si="3"/>
        <v>6.6000000000000014</v>
      </c>
      <c r="K26" s="21">
        <f t="shared" si="4"/>
        <v>28.738908000000006</v>
      </c>
      <c r="L26" s="38">
        <v>1.75</v>
      </c>
      <c r="M26" s="30">
        <v>5</v>
      </c>
      <c r="N26" s="16">
        <f t="shared" si="5"/>
        <v>4.7477816000000015</v>
      </c>
      <c r="O26" s="13">
        <f t="shared" si="6"/>
        <v>35.236689600000005</v>
      </c>
    </row>
    <row r="27" spans="1:15" x14ac:dyDescent="0.3">
      <c r="A27" s="41"/>
      <c r="B27" s="20">
        <v>0.1875</v>
      </c>
      <c r="C27" s="21">
        <v>39.6</v>
      </c>
      <c r="D27" s="33">
        <v>33</v>
      </c>
      <c r="E27" s="7">
        <v>26</v>
      </c>
      <c r="F27" s="11">
        <f t="shared" si="0"/>
        <v>6.6000000000000014</v>
      </c>
      <c r="G27" s="23">
        <f t="shared" si="0"/>
        <v>7</v>
      </c>
      <c r="H27" s="24">
        <f t="shared" si="2"/>
        <v>48.529411764705884</v>
      </c>
      <c r="I27" s="25">
        <v>2904</v>
      </c>
      <c r="J27" s="26">
        <f t="shared" si="3"/>
        <v>6.6000000000000014</v>
      </c>
      <c r="K27" s="21">
        <f t="shared" si="4"/>
        <v>29.324592000000003</v>
      </c>
      <c r="L27" s="38">
        <v>1.75</v>
      </c>
      <c r="M27" s="30">
        <v>5</v>
      </c>
      <c r="N27" s="16">
        <f t="shared" si="5"/>
        <v>4.8649184000000005</v>
      </c>
      <c r="O27" s="13">
        <f t="shared" si="6"/>
        <v>35.939510400000003</v>
      </c>
    </row>
    <row r="28" spans="1:15" s="3" customFormat="1" x14ac:dyDescent="0.3">
      <c r="A28" s="34"/>
      <c r="B28" s="34"/>
      <c r="C28" s="34"/>
      <c r="D28" s="34"/>
      <c r="E28" s="34"/>
      <c r="F28" s="34"/>
      <c r="G28" s="34" t="s">
        <v>8</v>
      </c>
      <c r="H28" s="34">
        <f>AVERAGE(H16:H27)</f>
        <v>49.315838807737748</v>
      </c>
      <c r="I28" s="34"/>
      <c r="J28" s="34"/>
      <c r="K28" s="34">
        <f>AVERAGE(K16:K27)</f>
        <v>31.419429750000003</v>
      </c>
      <c r="L28" s="34"/>
      <c r="M28" s="34"/>
      <c r="N28" s="34">
        <f>AVERAGE(N16:N27)</f>
        <v>5.2838859500000011</v>
      </c>
      <c r="O28" s="34">
        <f>AVERAGE(O16:O27)</f>
        <v>38.453315699999997</v>
      </c>
    </row>
    <row r="29" spans="1:15" x14ac:dyDescent="0.3">
      <c r="A29" s="19">
        <v>44595</v>
      </c>
      <c r="B29" s="20">
        <v>0.27083333333333331</v>
      </c>
      <c r="C29" s="21">
        <v>39.700000000000003</v>
      </c>
      <c r="D29" s="33">
        <v>33</v>
      </c>
      <c r="E29" s="7">
        <v>26</v>
      </c>
      <c r="F29" s="11">
        <f t="shared" si="0"/>
        <v>6.7000000000000028</v>
      </c>
      <c r="G29" s="23">
        <f>D29-E29</f>
        <v>7</v>
      </c>
      <c r="H29" s="24">
        <f t="shared" si="2"/>
        <v>48.905109489051107</v>
      </c>
      <c r="I29" s="25">
        <v>2899</v>
      </c>
      <c r="J29" s="26">
        <f t="shared" si="3"/>
        <v>6.7000000000000028</v>
      </c>
      <c r="K29" s="21">
        <f t="shared" si="4"/>
        <v>29.717649000000009</v>
      </c>
      <c r="L29" s="38">
        <v>1.75</v>
      </c>
      <c r="M29" s="30">
        <v>5</v>
      </c>
      <c r="N29" s="16">
        <f t="shared" si="5"/>
        <v>4.9435298000000021</v>
      </c>
      <c r="O29" s="13">
        <f t="shared" si="6"/>
        <v>36.411178800000009</v>
      </c>
    </row>
    <row r="30" spans="1:15" x14ac:dyDescent="0.3">
      <c r="A30" s="19"/>
      <c r="B30" s="20">
        <v>0.35416666666666669</v>
      </c>
      <c r="C30" s="21">
        <v>39.700000000000003</v>
      </c>
      <c r="D30" s="33">
        <v>33</v>
      </c>
      <c r="E30" s="7">
        <v>26</v>
      </c>
      <c r="F30" s="11">
        <f t="shared" si="0"/>
        <v>6.7000000000000028</v>
      </c>
      <c r="G30" s="23">
        <f t="shared" si="0"/>
        <v>7</v>
      </c>
      <c r="H30" s="24">
        <f t="shared" si="2"/>
        <v>48.905109489051107</v>
      </c>
      <c r="I30" s="25">
        <v>2905</v>
      </c>
      <c r="J30" s="26">
        <f t="shared" si="3"/>
        <v>6.7000000000000028</v>
      </c>
      <c r="K30" s="21">
        <f t="shared" si="4"/>
        <v>29.779155000000006</v>
      </c>
      <c r="L30" s="38">
        <v>1.75</v>
      </c>
      <c r="M30" s="30">
        <v>5</v>
      </c>
      <c r="N30" s="16">
        <f t="shared" si="5"/>
        <v>4.9558310000000017</v>
      </c>
      <c r="O30" s="13">
        <f t="shared" si="6"/>
        <v>36.484986000000006</v>
      </c>
    </row>
    <row r="31" spans="1:15" x14ac:dyDescent="0.3">
      <c r="A31" s="19"/>
      <c r="B31" s="20">
        <v>0.4375</v>
      </c>
      <c r="C31" s="21">
        <v>40.700000000000003</v>
      </c>
      <c r="D31" s="33">
        <v>34</v>
      </c>
      <c r="E31" s="7">
        <v>26</v>
      </c>
      <c r="F31" s="11">
        <f t="shared" si="0"/>
        <v>6.7000000000000028</v>
      </c>
      <c r="G31" s="23">
        <f t="shared" si="0"/>
        <v>8</v>
      </c>
      <c r="H31" s="24">
        <f t="shared" si="2"/>
        <v>45.578231292517017</v>
      </c>
      <c r="I31" s="25">
        <v>2871</v>
      </c>
      <c r="J31" s="26">
        <f t="shared" si="3"/>
        <v>6.7000000000000028</v>
      </c>
      <c r="K31" s="21">
        <f t="shared" si="4"/>
        <v>29.430621000000009</v>
      </c>
      <c r="L31" s="38">
        <v>1.75</v>
      </c>
      <c r="M31" s="30">
        <v>5</v>
      </c>
      <c r="N31" s="16">
        <f t="shared" si="5"/>
        <v>4.886124200000002</v>
      </c>
      <c r="O31" s="13">
        <f t="shared" si="6"/>
        <v>36.066745200000014</v>
      </c>
    </row>
    <row r="32" spans="1:15" x14ac:dyDescent="0.3">
      <c r="A32" s="19"/>
      <c r="B32" s="20">
        <v>0.52083333333333337</v>
      </c>
      <c r="C32" s="21">
        <v>40.9</v>
      </c>
      <c r="D32" s="33">
        <v>34</v>
      </c>
      <c r="E32" s="7">
        <v>26</v>
      </c>
      <c r="F32" s="11">
        <f t="shared" si="0"/>
        <v>6.8999999999999986</v>
      </c>
      <c r="G32" s="23">
        <f t="shared" si="0"/>
        <v>8</v>
      </c>
      <c r="H32" s="24">
        <f t="shared" si="2"/>
        <v>46.308724832214757</v>
      </c>
      <c r="I32" s="25">
        <v>2818</v>
      </c>
      <c r="J32" s="26">
        <f t="shared" si="3"/>
        <v>6.8999999999999986</v>
      </c>
      <c r="K32" s="21">
        <f t="shared" si="4"/>
        <v>29.749625999999992</v>
      </c>
      <c r="L32" s="38">
        <v>1.75</v>
      </c>
      <c r="M32" s="30">
        <v>5</v>
      </c>
      <c r="N32" s="16">
        <f t="shared" si="5"/>
        <v>4.9499251999999982</v>
      </c>
      <c r="O32" s="13">
        <f t="shared" si="6"/>
        <v>36.449551199999988</v>
      </c>
    </row>
    <row r="33" spans="1:15" x14ac:dyDescent="0.3">
      <c r="A33" s="19"/>
      <c r="B33" s="20">
        <v>0.60416666666666663</v>
      </c>
      <c r="C33" s="21">
        <v>40.9</v>
      </c>
      <c r="D33" s="33">
        <v>34.1</v>
      </c>
      <c r="E33" s="7">
        <v>26</v>
      </c>
      <c r="F33" s="11">
        <f t="shared" si="0"/>
        <v>6.7999999999999972</v>
      </c>
      <c r="G33" s="23">
        <f t="shared" si="0"/>
        <v>8.1000000000000014</v>
      </c>
      <c r="H33" s="24">
        <f t="shared" si="2"/>
        <v>45.637583892617435</v>
      </c>
      <c r="I33" s="25">
        <v>2847</v>
      </c>
      <c r="J33" s="26">
        <f t="shared" si="3"/>
        <v>6.7999999999999972</v>
      </c>
      <c r="K33" s="21">
        <f t="shared" si="4"/>
        <v>29.620187999999985</v>
      </c>
      <c r="L33" s="38">
        <v>1.75</v>
      </c>
      <c r="M33" s="30">
        <v>5</v>
      </c>
      <c r="N33" s="16">
        <f t="shared" si="5"/>
        <v>4.9240375999999966</v>
      </c>
      <c r="O33" s="13">
        <f t="shared" si="6"/>
        <v>36.294225599999983</v>
      </c>
    </row>
    <row r="34" spans="1:15" x14ac:dyDescent="0.3">
      <c r="A34" s="19"/>
      <c r="B34" s="20">
        <v>0.6875</v>
      </c>
      <c r="C34" s="21">
        <v>40.799999999999997</v>
      </c>
      <c r="D34" s="33">
        <v>33.9</v>
      </c>
      <c r="E34" s="7">
        <v>26</v>
      </c>
      <c r="F34" s="11">
        <f t="shared" si="0"/>
        <v>6.8999999999999986</v>
      </c>
      <c r="G34" s="23">
        <f t="shared" si="0"/>
        <v>7.8999999999999986</v>
      </c>
      <c r="H34" s="24">
        <f t="shared" si="2"/>
        <v>46.621621621621621</v>
      </c>
      <c r="I34" s="25">
        <v>2938</v>
      </c>
      <c r="J34" s="26">
        <f t="shared" si="3"/>
        <v>6.8999999999999986</v>
      </c>
      <c r="K34" s="21">
        <f t="shared" si="4"/>
        <v>31.016465999999987</v>
      </c>
      <c r="L34" s="38">
        <v>1.75</v>
      </c>
      <c r="M34" s="30">
        <v>5</v>
      </c>
      <c r="N34" s="16">
        <f t="shared" si="5"/>
        <v>5.2032931999999974</v>
      </c>
      <c r="O34" s="13">
        <f t="shared" si="6"/>
        <v>37.969759199999984</v>
      </c>
    </row>
    <row r="35" spans="1:15" x14ac:dyDescent="0.3">
      <c r="A35" s="19"/>
      <c r="B35" s="20">
        <v>0.77083333333333337</v>
      </c>
      <c r="C35" s="21">
        <v>40.700000000000003</v>
      </c>
      <c r="D35" s="33">
        <v>33.9</v>
      </c>
      <c r="E35" s="7">
        <v>26</v>
      </c>
      <c r="F35" s="11">
        <f t="shared" si="0"/>
        <v>6.8000000000000043</v>
      </c>
      <c r="G35" s="23">
        <f t="shared" si="0"/>
        <v>7.8999999999999986</v>
      </c>
      <c r="H35" s="24">
        <f t="shared" si="2"/>
        <v>46.258503401360564</v>
      </c>
      <c r="I35" s="25">
        <v>2961</v>
      </c>
      <c r="J35" s="26">
        <f t="shared" si="3"/>
        <v>6.8000000000000043</v>
      </c>
      <c r="K35" s="21">
        <f t="shared" si="4"/>
        <v>30.806244000000014</v>
      </c>
      <c r="L35" s="38">
        <v>1.75</v>
      </c>
      <c r="M35" s="30">
        <v>5</v>
      </c>
      <c r="N35" s="16">
        <f t="shared" si="5"/>
        <v>5.1612488000000027</v>
      </c>
      <c r="O35" s="13">
        <f t="shared" si="6"/>
        <v>37.717492800000016</v>
      </c>
    </row>
    <row r="36" spans="1:15" x14ac:dyDescent="0.3">
      <c r="A36" s="19"/>
      <c r="B36" s="20">
        <v>0.85416666666666663</v>
      </c>
      <c r="C36" s="21">
        <v>40.299999999999997</v>
      </c>
      <c r="D36" s="33">
        <v>33.5</v>
      </c>
      <c r="E36" s="7">
        <v>26</v>
      </c>
      <c r="F36" s="11">
        <f t="shared" si="0"/>
        <v>6.7999999999999972</v>
      </c>
      <c r="G36" s="23">
        <f t="shared" si="0"/>
        <v>7.5</v>
      </c>
      <c r="H36" s="24">
        <f t="shared" si="2"/>
        <v>47.552447552447539</v>
      </c>
      <c r="I36" s="25">
        <v>2923</v>
      </c>
      <c r="J36" s="26">
        <f t="shared" si="3"/>
        <v>6.7999999999999972</v>
      </c>
      <c r="K36" s="21">
        <f t="shared" si="4"/>
        <v>30.410891999999983</v>
      </c>
      <c r="L36" s="38">
        <v>1.75</v>
      </c>
      <c r="M36" s="30">
        <v>5</v>
      </c>
      <c r="N36" s="16">
        <f t="shared" si="5"/>
        <v>5.0821783999999965</v>
      </c>
      <c r="O36" s="13">
        <f t="shared" si="6"/>
        <v>37.243070399999979</v>
      </c>
    </row>
    <row r="37" spans="1:15" x14ac:dyDescent="0.3">
      <c r="A37" s="19"/>
      <c r="B37" s="20">
        <v>0.9375</v>
      </c>
      <c r="C37" s="21">
        <v>40.4</v>
      </c>
      <c r="D37" s="33">
        <v>33.6</v>
      </c>
      <c r="E37" s="7">
        <v>26</v>
      </c>
      <c r="F37" s="11">
        <f t="shared" si="0"/>
        <v>6.7999999999999972</v>
      </c>
      <c r="G37" s="23">
        <f t="shared" si="0"/>
        <v>7.6000000000000014</v>
      </c>
      <c r="H37" s="24">
        <f t="shared" si="2"/>
        <v>47.222222222222207</v>
      </c>
      <c r="I37" s="25">
        <v>2820</v>
      </c>
      <c r="J37" s="26">
        <f t="shared" si="3"/>
        <v>6.7999999999999972</v>
      </c>
      <c r="K37" s="21">
        <f t="shared" si="4"/>
        <v>29.339279999999984</v>
      </c>
      <c r="L37" s="38">
        <v>1.75</v>
      </c>
      <c r="M37" s="30">
        <v>5</v>
      </c>
      <c r="N37" s="16">
        <f t="shared" si="5"/>
        <v>4.8678559999999971</v>
      </c>
      <c r="O37" s="13">
        <f t="shared" si="6"/>
        <v>35.957135999999984</v>
      </c>
    </row>
    <row r="38" spans="1:15" x14ac:dyDescent="0.3">
      <c r="A38" s="19"/>
      <c r="B38" s="20">
        <v>2.0833333333333332E-2</v>
      </c>
      <c r="C38" s="21">
        <v>40.299999999999997</v>
      </c>
      <c r="D38" s="33">
        <v>33.4</v>
      </c>
      <c r="E38" s="7">
        <v>26</v>
      </c>
      <c r="F38" s="11">
        <f t="shared" si="0"/>
        <v>6.8999999999999986</v>
      </c>
      <c r="G38" s="23">
        <f t="shared" si="0"/>
        <v>7.3999999999999986</v>
      </c>
      <c r="H38" s="24">
        <f t="shared" si="2"/>
        <v>48.251748251748253</v>
      </c>
      <c r="I38" s="25">
        <v>2913</v>
      </c>
      <c r="J38" s="26">
        <f t="shared" si="3"/>
        <v>6.8999999999999986</v>
      </c>
      <c r="K38" s="21">
        <f t="shared" si="4"/>
        <v>30.75254099999999</v>
      </c>
      <c r="L38" s="38">
        <v>1.75</v>
      </c>
      <c r="M38" s="30">
        <v>5</v>
      </c>
      <c r="N38" s="16">
        <f t="shared" si="5"/>
        <v>5.1505081999999982</v>
      </c>
      <c r="O38" s="13">
        <f t="shared" si="6"/>
        <v>37.653049199999991</v>
      </c>
    </row>
    <row r="39" spans="1:15" x14ac:dyDescent="0.3">
      <c r="A39" s="19"/>
      <c r="B39" s="20">
        <v>0.10416666666666667</v>
      </c>
      <c r="C39" s="21"/>
      <c r="D39" s="33"/>
      <c r="E39" s="7">
        <v>26</v>
      </c>
      <c r="F39" s="11">
        <f t="shared" si="0"/>
        <v>0</v>
      </c>
      <c r="G39" s="23">
        <f t="shared" si="0"/>
        <v>-26</v>
      </c>
      <c r="H39" s="24">
        <f t="shared" si="2"/>
        <v>0</v>
      </c>
      <c r="I39" s="25"/>
      <c r="J39" s="26">
        <f t="shared" si="3"/>
        <v>0</v>
      </c>
      <c r="K39" s="21">
        <f t="shared" si="4"/>
        <v>0</v>
      </c>
      <c r="L39" s="38">
        <v>1.75</v>
      </c>
      <c r="M39" s="30">
        <v>5</v>
      </c>
      <c r="N39" s="16">
        <f t="shared" si="5"/>
        <v>-1</v>
      </c>
      <c r="O39" s="13">
        <f t="shared" si="6"/>
        <v>0.75</v>
      </c>
    </row>
    <row r="40" spans="1:15" x14ac:dyDescent="0.3">
      <c r="A40" s="19"/>
      <c r="B40" s="20">
        <v>0.1875</v>
      </c>
      <c r="C40" s="21">
        <v>40</v>
      </c>
      <c r="D40" s="33">
        <v>33.1</v>
      </c>
      <c r="E40" s="7">
        <v>26</v>
      </c>
      <c r="F40" s="11">
        <f t="shared" si="0"/>
        <v>6.8999999999999986</v>
      </c>
      <c r="G40" s="23">
        <f t="shared" si="0"/>
        <v>7.1000000000000014</v>
      </c>
      <c r="H40" s="24">
        <f t="shared" si="2"/>
        <v>49.285714285714278</v>
      </c>
      <c r="I40" s="25">
        <v>3001</v>
      </c>
      <c r="J40" s="26">
        <f t="shared" si="3"/>
        <v>6.8999999999999986</v>
      </c>
      <c r="K40" s="21">
        <f t="shared" si="4"/>
        <v>31.681556999999991</v>
      </c>
      <c r="L40" s="38">
        <v>1.75</v>
      </c>
      <c r="M40" s="30">
        <v>5</v>
      </c>
      <c r="N40" s="16">
        <f t="shared" si="5"/>
        <v>5.3363113999999978</v>
      </c>
      <c r="O40" s="13">
        <f t="shared" si="6"/>
        <v>38.76786839999999</v>
      </c>
    </row>
    <row r="41" spans="1:15" s="3" customFormat="1" x14ac:dyDescent="0.3">
      <c r="A41" s="34"/>
      <c r="B41" s="34"/>
      <c r="C41" s="34"/>
      <c r="D41" s="34"/>
      <c r="E41" s="34"/>
      <c r="F41" s="34"/>
      <c r="G41" s="34" t="s">
        <v>8</v>
      </c>
      <c r="H41" s="34">
        <f>AVERAGE(H29:H40)</f>
        <v>43.377251360880486</v>
      </c>
      <c r="I41" s="34"/>
      <c r="J41" s="34"/>
      <c r="K41" s="34">
        <f>AVERAGE(K29:K40)</f>
        <v>27.69201825</v>
      </c>
      <c r="L41" s="34"/>
      <c r="M41" s="34"/>
      <c r="N41" s="34">
        <f>AVERAGE(N29:N40)</f>
        <v>4.5384036499999993</v>
      </c>
      <c r="O41" s="34">
        <f>AVERAGE(O29:O40)</f>
        <v>33.980421899999989</v>
      </c>
    </row>
    <row r="42" spans="1:15" x14ac:dyDescent="0.3">
      <c r="A42" s="40">
        <v>44596</v>
      </c>
      <c r="B42" s="20">
        <v>0.27083333333333331</v>
      </c>
      <c r="C42" s="21">
        <v>40.1</v>
      </c>
      <c r="D42" s="33">
        <v>33.299999999999997</v>
      </c>
      <c r="E42" s="7">
        <v>26</v>
      </c>
      <c r="F42" s="11">
        <f t="shared" si="0"/>
        <v>6.8000000000000043</v>
      </c>
      <c r="G42" s="23">
        <f t="shared" si="0"/>
        <v>7.2999999999999972</v>
      </c>
      <c r="H42" s="24">
        <f t="shared" si="2"/>
        <v>48.226950354609954</v>
      </c>
      <c r="I42" s="25">
        <v>2996</v>
      </c>
      <c r="J42" s="26">
        <f t="shared" si="3"/>
        <v>6.8000000000000043</v>
      </c>
      <c r="K42" s="21">
        <f t="shared" si="4"/>
        <v>31.170384000000016</v>
      </c>
      <c r="L42" s="38">
        <v>1.75</v>
      </c>
      <c r="M42" s="30">
        <v>5</v>
      </c>
      <c r="N42" s="16">
        <f t="shared" si="5"/>
        <v>5.2340768000000031</v>
      </c>
      <c r="O42" s="13">
        <f t="shared" si="6"/>
        <v>38.154460800000017</v>
      </c>
    </row>
    <row r="43" spans="1:15" x14ac:dyDescent="0.3">
      <c r="A43" s="41"/>
      <c r="B43" s="20">
        <v>0.35416666666666669</v>
      </c>
      <c r="C43" s="21">
        <v>40.200000000000003</v>
      </c>
      <c r="D43" s="33">
        <v>33.6</v>
      </c>
      <c r="E43" s="7">
        <v>26</v>
      </c>
      <c r="F43" s="11">
        <f t="shared" si="0"/>
        <v>6.6000000000000014</v>
      </c>
      <c r="G43" s="23">
        <f t="shared" si="0"/>
        <v>7.6000000000000014</v>
      </c>
      <c r="H43" s="24">
        <f t="shared" si="2"/>
        <v>46.478873239436616</v>
      </c>
      <c r="I43" s="25">
        <v>3006</v>
      </c>
      <c r="J43" s="26">
        <f t="shared" si="3"/>
        <v>6.6000000000000014</v>
      </c>
      <c r="K43" s="21">
        <f t="shared" si="4"/>
        <v>30.354588000000003</v>
      </c>
      <c r="L43" s="38">
        <v>1.75</v>
      </c>
      <c r="M43" s="30">
        <v>5</v>
      </c>
      <c r="N43" s="16">
        <f t="shared" si="5"/>
        <v>5.0709176000000005</v>
      </c>
      <c r="O43" s="13">
        <f t="shared" si="6"/>
        <v>37.175505600000008</v>
      </c>
    </row>
    <row r="44" spans="1:15" x14ac:dyDescent="0.3">
      <c r="A44" s="41"/>
      <c r="B44" s="20">
        <v>0.4375</v>
      </c>
      <c r="C44" s="21">
        <v>41.1</v>
      </c>
      <c r="D44" s="33">
        <v>34.340000000000003</v>
      </c>
      <c r="E44" s="7">
        <v>26</v>
      </c>
      <c r="F44" s="11">
        <f t="shared" si="0"/>
        <v>6.759999999999998</v>
      </c>
      <c r="G44" s="23">
        <f t="shared" si="0"/>
        <v>8.3400000000000034</v>
      </c>
      <c r="H44" s="24">
        <f t="shared" si="2"/>
        <v>44.768211920529779</v>
      </c>
      <c r="I44" s="25">
        <v>2957</v>
      </c>
      <c r="J44" s="26">
        <f t="shared" si="3"/>
        <v>6.759999999999998</v>
      </c>
      <c r="K44" s="21">
        <f t="shared" si="4"/>
        <v>30.58365959999999</v>
      </c>
      <c r="L44" s="38">
        <v>1.75</v>
      </c>
      <c r="M44" s="30">
        <v>5</v>
      </c>
      <c r="N44" s="16">
        <f t="shared" si="5"/>
        <v>5.1167319199999977</v>
      </c>
      <c r="O44" s="13">
        <f t="shared" si="6"/>
        <v>37.450391519999989</v>
      </c>
    </row>
    <row r="45" spans="1:15" x14ac:dyDescent="0.3">
      <c r="A45" s="41"/>
      <c r="B45" s="20">
        <v>0.52083333333333337</v>
      </c>
      <c r="C45" s="21">
        <v>41.5</v>
      </c>
      <c r="D45" s="33">
        <v>34.700000000000003</v>
      </c>
      <c r="E45" s="7">
        <v>26</v>
      </c>
      <c r="F45" s="11">
        <f t="shared" si="0"/>
        <v>6.7999999999999972</v>
      </c>
      <c r="G45" s="23">
        <f t="shared" si="0"/>
        <v>8.7000000000000028</v>
      </c>
      <c r="H45" s="24">
        <f t="shared" si="2"/>
        <v>43.870967741935466</v>
      </c>
      <c r="I45" s="25">
        <v>2928</v>
      </c>
      <c r="J45" s="26">
        <f t="shared" si="3"/>
        <v>6.7999999999999972</v>
      </c>
      <c r="K45" s="21">
        <f t="shared" si="4"/>
        <v>30.462911999999982</v>
      </c>
      <c r="L45" s="38">
        <v>1.75</v>
      </c>
      <c r="M45" s="30">
        <v>5</v>
      </c>
      <c r="N45" s="16">
        <f t="shared" si="5"/>
        <v>5.092582399999996</v>
      </c>
      <c r="O45" s="13">
        <f t="shared" si="6"/>
        <v>37.305494399999979</v>
      </c>
    </row>
    <row r="46" spans="1:15" x14ac:dyDescent="0.3">
      <c r="A46" s="41"/>
      <c r="B46" s="20">
        <v>0.60416666666666663</v>
      </c>
      <c r="C46" s="21">
        <v>41.2</v>
      </c>
      <c r="D46" s="33">
        <v>34.299999999999997</v>
      </c>
      <c r="E46" s="7">
        <v>26</v>
      </c>
      <c r="F46" s="11">
        <f t="shared" si="0"/>
        <v>6.9000000000000057</v>
      </c>
      <c r="G46" s="23">
        <f t="shared" si="0"/>
        <v>8.2999999999999972</v>
      </c>
      <c r="H46" s="24">
        <f t="shared" si="2"/>
        <v>45.394736842105296</v>
      </c>
      <c r="I46" s="25">
        <v>2966</v>
      </c>
      <c r="J46" s="26">
        <f t="shared" si="3"/>
        <v>6.9000000000000057</v>
      </c>
      <c r="K46" s="21">
        <f t="shared" si="4"/>
        <v>31.312062000000026</v>
      </c>
      <c r="L46" s="38">
        <v>1.75</v>
      </c>
      <c r="M46" s="30">
        <v>5</v>
      </c>
      <c r="N46" s="16">
        <f t="shared" si="5"/>
        <v>5.262412400000005</v>
      </c>
      <c r="O46" s="13">
        <f t="shared" si="6"/>
        <v>38.324474400000028</v>
      </c>
    </row>
    <row r="47" spans="1:15" x14ac:dyDescent="0.3">
      <c r="A47" s="41"/>
      <c r="B47" s="20">
        <v>0.6875</v>
      </c>
      <c r="C47" s="21">
        <v>40.700000000000003</v>
      </c>
      <c r="D47" s="33">
        <v>33.799999999999997</v>
      </c>
      <c r="E47" s="7">
        <v>26</v>
      </c>
      <c r="F47" s="11">
        <f t="shared" si="0"/>
        <v>6.9000000000000057</v>
      </c>
      <c r="G47" s="23">
        <f t="shared" si="0"/>
        <v>7.7999999999999972</v>
      </c>
      <c r="H47" s="24">
        <f t="shared" si="2"/>
        <v>46.93877551020411</v>
      </c>
      <c r="I47" s="25">
        <v>2988</v>
      </c>
      <c r="J47" s="26">
        <f t="shared" si="3"/>
        <v>6.9000000000000057</v>
      </c>
      <c r="K47" s="21">
        <f t="shared" si="4"/>
        <v>31.544316000000023</v>
      </c>
      <c r="L47" s="38">
        <v>1.75</v>
      </c>
      <c r="M47" s="30">
        <v>5</v>
      </c>
      <c r="N47" s="16">
        <f t="shared" si="5"/>
        <v>5.3088632000000047</v>
      </c>
      <c r="O47" s="13">
        <f t="shared" si="6"/>
        <v>38.603179200000028</v>
      </c>
    </row>
    <row r="48" spans="1:15" x14ac:dyDescent="0.3">
      <c r="A48" s="41"/>
      <c r="B48" s="20">
        <v>0.77083333333333337</v>
      </c>
      <c r="C48" s="21">
        <v>39.700000000000003</v>
      </c>
      <c r="D48" s="33">
        <v>32.9</v>
      </c>
      <c r="E48" s="7">
        <v>26</v>
      </c>
      <c r="F48" s="11">
        <f t="shared" si="0"/>
        <v>6.8000000000000043</v>
      </c>
      <c r="G48" s="23">
        <f t="shared" si="0"/>
        <v>6.8999999999999986</v>
      </c>
      <c r="H48" s="24">
        <f t="shared" si="2"/>
        <v>49.635036496350388</v>
      </c>
      <c r="I48" s="25">
        <v>3008</v>
      </c>
      <c r="J48" s="26">
        <f t="shared" si="3"/>
        <v>6.8000000000000043</v>
      </c>
      <c r="K48" s="21">
        <f t="shared" si="4"/>
        <v>31.29523200000002</v>
      </c>
      <c r="L48" s="38">
        <v>1.75</v>
      </c>
      <c r="M48" s="30">
        <v>5</v>
      </c>
      <c r="N48" s="16">
        <f t="shared" si="5"/>
        <v>5.2590464000000043</v>
      </c>
      <c r="O48" s="13">
        <f t="shared" si="6"/>
        <v>38.304278400000022</v>
      </c>
    </row>
    <row r="49" spans="1:15" x14ac:dyDescent="0.3">
      <c r="A49" s="41"/>
      <c r="B49" s="20">
        <v>0.85416666666666663</v>
      </c>
      <c r="C49" s="21">
        <v>39.1</v>
      </c>
      <c r="D49" s="33">
        <v>32.4</v>
      </c>
      <c r="E49" s="7">
        <v>26</v>
      </c>
      <c r="F49" s="11">
        <f t="shared" si="0"/>
        <v>6.7000000000000028</v>
      </c>
      <c r="G49" s="23">
        <f t="shared" si="0"/>
        <v>6.3999999999999986</v>
      </c>
      <c r="H49" s="24">
        <f t="shared" si="2"/>
        <v>51.145038167938949</v>
      </c>
      <c r="I49" s="25">
        <v>2933</v>
      </c>
      <c r="J49" s="26">
        <f t="shared" si="3"/>
        <v>6.7000000000000028</v>
      </c>
      <c r="K49" s="21">
        <f t="shared" si="4"/>
        <v>30.066183000000009</v>
      </c>
      <c r="L49" s="38">
        <v>1.75</v>
      </c>
      <c r="M49" s="30">
        <v>5</v>
      </c>
      <c r="N49" s="16">
        <f t="shared" si="5"/>
        <v>5.0132366000000017</v>
      </c>
      <c r="O49" s="13">
        <f t="shared" si="6"/>
        <v>36.829419600000008</v>
      </c>
    </row>
    <row r="50" spans="1:15" x14ac:dyDescent="0.3">
      <c r="A50" s="41"/>
      <c r="B50" s="20">
        <v>0.9375</v>
      </c>
      <c r="C50" s="21">
        <v>38</v>
      </c>
      <c r="D50" s="33">
        <v>31</v>
      </c>
      <c r="E50" s="7">
        <v>26</v>
      </c>
      <c r="F50" s="11">
        <f t="shared" si="0"/>
        <v>7</v>
      </c>
      <c r="G50" s="23">
        <f t="shared" si="0"/>
        <v>5</v>
      </c>
      <c r="H50" s="24">
        <f t="shared" si="2"/>
        <v>58.333333333333336</v>
      </c>
      <c r="I50" s="25">
        <v>2931</v>
      </c>
      <c r="J50" s="26">
        <f t="shared" si="3"/>
        <v>7</v>
      </c>
      <c r="K50" s="21">
        <f t="shared" si="4"/>
        <v>31.391009999999998</v>
      </c>
      <c r="L50" s="38">
        <v>1.75</v>
      </c>
      <c r="M50" s="30">
        <v>5</v>
      </c>
      <c r="N50" s="16">
        <f t="shared" si="5"/>
        <v>5.2782019999999994</v>
      </c>
      <c r="O50" s="13">
        <f t="shared" si="6"/>
        <v>38.419211999999995</v>
      </c>
    </row>
    <row r="51" spans="1:15" x14ac:dyDescent="0.3">
      <c r="A51" s="41"/>
      <c r="B51" s="20">
        <v>2.0833333333333332E-2</v>
      </c>
      <c r="C51" s="21">
        <v>37</v>
      </c>
      <c r="D51" s="33">
        <v>31</v>
      </c>
      <c r="E51" s="7">
        <v>26</v>
      </c>
      <c r="F51" s="11">
        <f t="shared" si="0"/>
        <v>6</v>
      </c>
      <c r="G51" s="23">
        <f t="shared" si="0"/>
        <v>5</v>
      </c>
      <c r="H51" s="24">
        <f t="shared" si="2"/>
        <v>54.54545454545454</v>
      </c>
      <c r="I51" s="25">
        <v>3031</v>
      </c>
      <c r="J51" s="26">
        <f t="shared" si="3"/>
        <v>6</v>
      </c>
      <c r="K51" s="21">
        <f t="shared" si="4"/>
        <v>27.824579999999997</v>
      </c>
      <c r="L51" s="38">
        <v>1.75</v>
      </c>
      <c r="M51" s="30">
        <v>5</v>
      </c>
      <c r="N51" s="16">
        <f t="shared" si="5"/>
        <v>4.5649159999999993</v>
      </c>
      <c r="O51" s="13">
        <f t="shared" si="6"/>
        <v>34.139495999999994</v>
      </c>
    </row>
    <row r="52" spans="1:15" x14ac:dyDescent="0.3">
      <c r="A52" s="41"/>
      <c r="B52" s="20">
        <v>0.10416666666666667</v>
      </c>
      <c r="C52" s="21">
        <v>37</v>
      </c>
      <c r="D52" s="33">
        <v>31</v>
      </c>
      <c r="E52" s="7">
        <v>26</v>
      </c>
      <c r="F52" s="11">
        <f t="shared" si="0"/>
        <v>6</v>
      </c>
      <c r="G52" s="23">
        <f t="shared" si="0"/>
        <v>5</v>
      </c>
      <c r="H52" s="24">
        <f t="shared" si="2"/>
        <v>54.54545454545454</v>
      </c>
      <c r="I52" s="25">
        <v>3016</v>
      </c>
      <c r="J52" s="26">
        <f t="shared" si="3"/>
        <v>6</v>
      </c>
      <c r="K52" s="21">
        <f t="shared" si="4"/>
        <v>27.686879999999995</v>
      </c>
      <c r="L52" s="38">
        <v>1.75</v>
      </c>
      <c r="M52" s="30">
        <v>5</v>
      </c>
      <c r="N52" s="16">
        <f t="shared" si="5"/>
        <v>4.5373759999999992</v>
      </c>
      <c r="O52" s="13">
        <f t="shared" si="6"/>
        <v>33.974255999999997</v>
      </c>
    </row>
    <row r="53" spans="1:15" x14ac:dyDescent="0.3">
      <c r="A53" s="41"/>
      <c r="B53" s="20">
        <v>0.1875</v>
      </c>
      <c r="C53" s="21">
        <v>37.299999999999997</v>
      </c>
      <c r="D53" s="33">
        <v>30.7</v>
      </c>
      <c r="E53" s="7">
        <v>26</v>
      </c>
      <c r="F53" s="11">
        <f t="shared" si="0"/>
        <v>6.5999999999999979</v>
      </c>
      <c r="G53" s="23">
        <f t="shared" si="0"/>
        <v>4.6999999999999993</v>
      </c>
      <c r="H53" s="24">
        <f t="shared" si="2"/>
        <v>58.407079646017692</v>
      </c>
      <c r="I53" s="25">
        <v>2866</v>
      </c>
      <c r="J53" s="26">
        <f t="shared" si="3"/>
        <v>6.5999999999999979</v>
      </c>
      <c r="K53" s="21">
        <f t="shared" si="4"/>
        <v>28.940867999999988</v>
      </c>
      <c r="L53" s="38">
        <v>1.75</v>
      </c>
      <c r="M53" s="30">
        <v>5</v>
      </c>
      <c r="N53" s="16">
        <f t="shared" si="5"/>
        <v>4.7881735999999977</v>
      </c>
      <c r="O53" s="13">
        <f t="shared" si="6"/>
        <v>35.479041599999988</v>
      </c>
    </row>
    <row r="54" spans="1:15" s="3" customFormat="1" x14ac:dyDescent="0.3">
      <c r="A54" s="34"/>
      <c r="B54" s="34"/>
      <c r="C54" s="34"/>
      <c r="D54" s="34"/>
      <c r="E54" s="34"/>
      <c r="F54" s="34"/>
      <c r="G54" s="34" t="s">
        <v>8</v>
      </c>
      <c r="H54" s="34">
        <f>AVERAGE(H42:H53)</f>
        <v>50.190826028614218</v>
      </c>
      <c r="I54" s="34"/>
      <c r="J54" s="34"/>
      <c r="K54" s="34">
        <f>AVERAGE(K42:K53)</f>
        <v>30.219389550000002</v>
      </c>
      <c r="L54" s="34"/>
      <c r="M54" s="34"/>
      <c r="N54" s="34">
        <f>AVERAGE(N42:N53)</f>
        <v>5.0438779100000009</v>
      </c>
      <c r="O54" s="34">
        <f>AVERAGE(O42:O53)</f>
        <v>37.013267460000002</v>
      </c>
    </row>
    <row r="55" spans="1:15" x14ac:dyDescent="0.3">
      <c r="A55" s="19">
        <v>44597</v>
      </c>
      <c r="B55" s="20">
        <v>0.27083333333333331</v>
      </c>
      <c r="C55" s="21">
        <v>36.799999999999997</v>
      </c>
      <c r="D55" s="33">
        <v>30.2</v>
      </c>
      <c r="E55" s="7">
        <v>26</v>
      </c>
      <c r="F55" s="11">
        <f t="shared" si="0"/>
        <v>6.5999999999999979</v>
      </c>
      <c r="G55" s="23">
        <f t="shared" si="0"/>
        <v>4.1999999999999993</v>
      </c>
      <c r="H55" s="24">
        <f t="shared" si="2"/>
        <v>61.111111111111107</v>
      </c>
      <c r="I55" s="25">
        <v>2991</v>
      </c>
      <c r="J55" s="26">
        <f t="shared" si="3"/>
        <v>6.5999999999999979</v>
      </c>
      <c r="K55" s="21">
        <f t="shared" si="4"/>
        <v>30.203117999999989</v>
      </c>
      <c r="L55" s="38">
        <v>1.75</v>
      </c>
      <c r="M55" s="30">
        <v>5</v>
      </c>
      <c r="N55" s="16">
        <f t="shared" si="5"/>
        <v>5.0406235999999982</v>
      </c>
      <c r="O55" s="13">
        <f t="shared" si="6"/>
        <v>36.993741599999986</v>
      </c>
    </row>
    <row r="56" spans="1:15" x14ac:dyDescent="0.3">
      <c r="A56" s="19"/>
      <c r="B56" s="20">
        <v>0.35416666666666669</v>
      </c>
      <c r="C56" s="21">
        <v>37.1</v>
      </c>
      <c r="D56" s="33">
        <v>30.5</v>
      </c>
      <c r="E56" s="7">
        <v>26</v>
      </c>
      <c r="F56" s="11">
        <f t="shared" si="0"/>
        <v>6.6000000000000014</v>
      </c>
      <c r="G56" s="23">
        <f t="shared" si="0"/>
        <v>4.5</v>
      </c>
      <c r="H56" s="24">
        <f t="shared" si="2"/>
        <v>59.45945945945946</v>
      </c>
      <c r="I56" s="25">
        <v>2964</v>
      </c>
      <c r="J56" s="26">
        <f t="shared" si="3"/>
        <v>6.6000000000000014</v>
      </c>
      <c r="K56" s="21">
        <f t="shared" si="4"/>
        <v>29.930472000000005</v>
      </c>
      <c r="L56" s="38">
        <v>1.75</v>
      </c>
      <c r="M56" s="30">
        <v>5</v>
      </c>
      <c r="N56" s="16">
        <f t="shared" si="5"/>
        <v>4.9860944000000007</v>
      </c>
      <c r="O56" s="13">
        <f t="shared" si="6"/>
        <v>36.666566400000008</v>
      </c>
    </row>
    <row r="57" spans="1:15" x14ac:dyDescent="0.3">
      <c r="A57" s="19"/>
      <c r="B57" s="20">
        <v>0.4375</v>
      </c>
      <c r="C57" s="21">
        <v>38.1</v>
      </c>
      <c r="D57" s="33">
        <v>31.4</v>
      </c>
      <c r="E57" s="7">
        <v>26</v>
      </c>
      <c r="F57" s="11">
        <f t="shared" si="0"/>
        <v>6.7000000000000028</v>
      </c>
      <c r="G57" s="23">
        <f t="shared" si="0"/>
        <v>5.3999999999999986</v>
      </c>
      <c r="H57" s="24">
        <f t="shared" si="2"/>
        <v>55.371900826446293</v>
      </c>
      <c r="I57" s="25">
        <v>2791</v>
      </c>
      <c r="J57" s="26">
        <f t="shared" si="3"/>
        <v>6.7000000000000028</v>
      </c>
      <c r="K57" s="21">
        <f t="shared" si="4"/>
        <v>28.610541000000012</v>
      </c>
      <c r="L57" s="38">
        <v>1.75</v>
      </c>
      <c r="M57" s="30">
        <v>5</v>
      </c>
      <c r="N57" s="16">
        <f t="shared" si="5"/>
        <v>4.7221082000000028</v>
      </c>
      <c r="O57" s="13">
        <f t="shared" si="6"/>
        <v>35.082649200000013</v>
      </c>
    </row>
    <row r="58" spans="1:15" x14ac:dyDescent="0.3">
      <c r="A58" s="19"/>
      <c r="B58" s="20">
        <v>0.52083333333333337</v>
      </c>
      <c r="C58" s="21">
        <v>38.5</v>
      </c>
      <c r="D58" s="33">
        <v>31.8</v>
      </c>
      <c r="E58" s="7">
        <v>26</v>
      </c>
      <c r="F58" s="11">
        <f t="shared" si="0"/>
        <v>6.6999999999999993</v>
      </c>
      <c r="G58" s="23">
        <f t="shared" si="0"/>
        <v>5.8000000000000007</v>
      </c>
      <c r="H58" s="24">
        <f t="shared" si="2"/>
        <v>53.599999999999994</v>
      </c>
      <c r="I58" s="25">
        <v>2998</v>
      </c>
      <c r="J58" s="26">
        <f t="shared" si="3"/>
        <v>6.6999999999999993</v>
      </c>
      <c r="K58" s="21">
        <f t="shared" si="4"/>
        <v>30.732497999999993</v>
      </c>
      <c r="L58" s="38">
        <v>1.75</v>
      </c>
      <c r="M58" s="30">
        <v>5</v>
      </c>
      <c r="N58" s="16">
        <f t="shared" si="5"/>
        <v>5.1464995999999985</v>
      </c>
      <c r="O58" s="13">
        <f t="shared" si="6"/>
        <v>37.628997599999991</v>
      </c>
    </row>
    <row r="59" spans="1:15" x14ac:dyDescent="0.3">
      <c r="A59" s="19"/>
      <c r="B59" s="20">
        <v>0.60416666666666663</v>
      </c>
      <c r="C59" s="21">
        <v>38.1</v>
      </c>
      <c r="D59" s="33">
        <v>31</v>
      </c>
      <c r="E59" s="7">
        <v>26</v>
      </c>
      <c r="F59" s="11">
        <f t="shared" si="0"/>
        <v>7.1000000000000014</v>
      </c>
      <c r="G59" s="23">
        <f t="shared" si="0"/>
        <v>5</v>
      </c>
      <c r="H59" s="24">
        <f t="shared" si="2"/>
        <v>58.677685950413228</v>
      </c>
      <c r="I59" s="25">
        <v>2881</v>
      </c>
      <c r="J59" s="26">
        <f t="shared" si="3"/>
        <v>7.1000000000000014</v>
      </c>
      <c r="K59" s="21">
        <f t="shared" si="4"/>
        <v>31.296303000000002</v>
      </c>
      <c r="L59" s="38">
        <v>1.75</v>
      </c>
      <c r="M59" s="30">
        <v>5</v>
      </c>
      <c r="N59" s="16">
        <f t="shared" si="5"/>
        <v>5.2592606000000002</v>
      </c>
      <c r="O59" s="13">
        <f t="shared" si="6"/>
        <v>38.305563599999999</v>
      </c>
    </row>
    <row r="60" spans="1:15" x14ac:dyDescent="0.3">
      <c r="A60" s="19"/>
      <c r="B60" s="20">
        <v>0.6875</v>
      </c>
      <c r="C60" s="21">
        <v>38</v>
      </c>
      <c r="D60" s="33">
        <v>31</v>
      </c>
      <c r="E60" s="7">
        <v>26</v>
      </c>
      <c r="F60" s="11">
        <f t="shared" si="0"/>
        <v>7</v>
      </c>
      <c r="G60" s="23">
        <f t="shared" si="0"/>
        <v>5</v>
      </c>
      <c r="H60" s="24">
        <f t="shared" si="2"/>
        <v>58.333333333333336</v>
      </c>
      <c r="I60" s="25">
        <v>2871</v>
      </c>
      <c r="J60" s="26">
        <f t="shared" si="3"/>
        <v>7</v>
      </c>
      <c r="K60" s="21">
        <f t="shared" si="4"/>
        <v>30.748409999999996</v>
      </c>
      <c r="L60" s="38">
        <v>1.75</v>
      </c>
      <c r="M60" s="30">
        <v>5</v>
      </c>
      <c r="N60" s="16">
        <f t="shared" si="5"/>
        <v>5.1496819999999994</v>
      </c>
      <c r="O60" s="13">
        <f t="shared" si="6"/>
        <v>37.648091999999991</v>
      </c>
    </row>
    <row r="61" spans="1:15" x14ac:dyDescent="0.3">
      <c r="A61" s="19"/>
      <c r="B61" s="20">
        <v>0.77083333333333337</v>
      </c>
      <c r="C61" s="21">
        <v>38</v>
      </c>
      <c r="D61" s="33">
        <v>31</v>
      </c>
      <c r="E61" s="7">
        <v>26</v>
      </c>
      <c r="F61" s="11">
        <f t="shared" si="0"/>
        <v>7</v>
      </c>
      <c r="G61" s="23">
        <f t="shared" si="0"/>
        <v>5</v>
      </c>
      <c r="H61" s="24">
        <f t="shared" si="2"/>
        <v>58.333333333333336</v>
      </c>
      <c r="I61" s="25">
        <v>2947</v>
      </c>
      <c r="J61" s="26">
        <f t="shared" si="3"/>
        <v>7</v>
      </c>
      <c r="K61" s="21">
        <f t="shared" si="4"/>
        <v>31.562369999999994</v>
      </c>
      <c r="L61" s="38">
        <v>1.75</v>
      </c>
      <c r="M61" s="30">
        <v>5</v>
      </c>
      <c r="N61" s="16">
        <f t="shared" si="5"/>
        <v>5.312473999999999</v>
      </c>
      <c r="O61" s="13">
        <f t="shared" si="6"/>
        <v>38.624843999999996</v>
      </c>
    </row>
    <row r="62" spans="1:15" x14ac:dyDescent="0.3">
      <c r="A62" s="19"/>
      <c r="B62" s="20">
        <v>0.85416666666666663</v>
      </c>
      <c r="C62" s="21">
        <v>38</v>
      </c>
      <c r="D62" s="33">
        <v>31</v>
      </c>
      <c r="E62" s="7">
        <v>26</v>
      </c>
      <c r="F62" s="11">
        <f t="shared" si="0"/>
        <v>7</v>
      </c>
      <c r="G62" s="23">
        <f t="shared" si="0"/>
        <v>5</v>
      </c>
      <c r="H62" s="24">
        <f t="shared" si="2"/>
        <v>58.333333333333336</v>
      </c>
      <c r="I62" s="25">
        <v>2931</v>
      </c>
      <c r="J62" s="26">
        <f t="shared" si="3"/>
        <v>7</v>
      </c>
      <c r="K62" s="21">
        <f t="shared" si="4"/>
        <v>31.391009999999998</v>
      </c>
      <c r="L62" s="38">
        <v>1.75</v>
      </c>
      <c r="M62" s="30">
        <v>5</v>
      </c>
      <c r="N62" s="16">
        <f t="shared" si="5"/>
        <v>5.2782019999999994</v>
      </c>
      <c r="O62" s="13">
        <f t="shared" si="6"/>
        <v>38.419211999999995</v>
      </c>
    </row>
    <row r="63" spans="1:15" x14ac:dyDescent="0.3">
      <c r="A63" s="19"/>
      <c r="B63" s="20">
        <v>0.9375</v>
      </c>
      <c r="C63" s="21">
        <v>37.700000000000003</v>
      </c>
      <c r="D63" s="33">
        <v>31.4</v>
      </c>
      <c r="E63" s="7">
        <v>26</v>
      </c>
      <c r="F63" s="11">
        <f t="shared" si="0"/>
        <v>6.3000000000000043</v>
      </c>
      <c r="G63" s="23">
        <f t="shared" si="0"/>
        <v>5.3999999999999986</v>
      </c>
      <c r="H63" s="24">
        <f t="shared" si="2"/>
        <v>53.846153846153868</v>
      </c>
      <c r="I63" s="25">
        <v>2955</v>
      </c>
      <c r="J63" s="26">
        <f t="shared" si="3"/>
        <v>6.3000000000000043</v>
      </c>
      <c r="K63" s="21">
        <f t="shared" si="4"/>
        <v>28.483245000000018</v>
      </c>
      <c r="L63" s="38">
        <v>1.75</v>
      </c>
      <c r="M63" s="30">
        <v>5</v>
      </c>
      <c r="N63" s="16">
        <f t="shared" si="5"/>
        <v>4.6966490000000034</v>
      </c>
      <c r="O63" s="13">
        <f t="shared" si="6"/>
        <v>34.929894000000019</v>
      </c>
    </row>
    <row r="64" spans="1:15" x14ac:dyDescent="0.3">
      <c r="A64" s="19"/>
      <c r="B64" s="20">
        <v>2.0833333333333332E-2</v>
      </c>
      <c r="C64" s="21">
        <v>37.1</v>
      </c>
      <c r="D64" s="33">
        <v>30.7</v>
      </c>
      <c r="E64" s="7">
        <v>26</v>
      </c>
      <c r="F64" s="11">
        <f t="shared" si="0"/>
        <v>6.4000000000000021</v>
      </c>
      <c r="G64" s="23">
        <f t="shared" si="0"/>
        <v>4.6999999999999993</v>
      </c>
      <c r="H64" s="24">
        <f t="shared" si="2"/>
        <v>57.657657657657666</v>
      </c>
      <c r="I64" s="25">
        <v>2899</v>
      </c>
      <c r="J64" s="26">
        <f t="shared" si="3"/>
        <v>6.4000000000000021</v>
      </c>
      <c r="K64" s="21">
        <f t="shared" si="4"/>
        <v>28.387008000000005</v>
      </c>
      <c r="L64" s="38">
        <v>1.75</v>
      </c>
      <c r="M64" s="30">
        <v>5</v>
      </c>
      <c r="N64" s="16">
        <f t="shared" si="5"/>
        <v>4.6774016000000014</v>
      </c>
      <c r="O64" s="13">
        <f t="shared" si="6"/>
        <v>34.814409600000005</v>
      </c>
    </row>
    <row r="65" spans="1:15" x14ac:dyDescent="0.3">
      <c r="A65" s="19"/>
      <c r="B65" s="20">
        <v>0.10416666666666667</v>
      </c>
      <c r="C65" s="21">
        <v>36.700000000000003</v>
      </c>
      <c r="D65" s="33">
        <v>30.3</v>
      </c>
      <c r="E65" s="7">
        <v>26</v>
      </c>
      <c r="F65" s="11">
        <f t="shared" si="0"/>
        <v>6.4000000000000021</v>
      </c>
      <c r="G65" s="23">
        <f t="shared" si="0"/>
        <v>4.3000000000000007</v>
      </c>
      <c r="H65" s="24">
        <f t="shared" si="2"/>
        <v>59.813084112149539</v>
      </c>
      <c r="I65" s="25">
        <v>2861</v>
      </c>
      <c r="J65" s="26">
        <f t="shared" si="3"/>
        <v>6.4000000000000021</v>
      </c>
      <c r="K65" s="21">
        <f t="shared" si="4"/>
        <v>28.014912000000006</v>
      </c>
      <c r="L65" s="38">
        <v>1.75</v>
      </c>
      <c r="M65" s="30">
        <v>5</v>
      </c>
      <c r="N65" s="16">
        <f t="shared" si="5"/>
        <v>4.602982400000001</v>
      </c>
      <c r="O65" s="13">
        <f t="shared" si="6"/>
        <v>34.367894400000004</v>
      </c>
    </row>
    <row r="66" spans="1:15" x14ac:dyDescent="0.3">
      <c r="A66" s="19"/>
      <c r="B66" s="20">
        <v>0.1875</v>
      </c>
      <c r="C66" s="21">
        <v>38</v>
      </c>
      <c r="D66" s="33">
        <v>25</v>
      </c>
      <c r="E66" s="7">
        <v>26</v>
      </c>
      <c r="F66" s="11">
        <f t="shared" si="0"/>
        <v>13</v>
      </c>
      <c r="G66" s="23">
        <f t="shared" si="0"/>
        <v>-1</v>
      </c>
      <c r="H66" s="24">
        <f t="shared" si="2"/>
        <v>108.33333333333333</v>
      </c>
      <c r="I66" s="25">
        <v>2941</v>
      </c>
      <c r="J66" s="26">
        <f t="shared" si="3"/>
        <v>13</v>
      </c>
      <c r="K66" s="21">
        <f t="shared" si="4"/>
        <v>58.496489999999994</v>
      </c>
      <c r="L66" s="38">
        <v>1.75</v>
      </c>
      <c r="M66" s="30">
        <v>5</v>
      </c>
      <c r="N66" s="16">
        <f t="shared" si="5"/>
        <v>10.699297999999999</v>
      </c>
      <c r="O66" s="13">
        <f t="shared" si="6"/>
        <v>70.945787999999993</v>
      </c>
    </row>
    <row r="67" spans="1:15" s="3" customFormat="1" x14ac:dyDescent="0.3">
      <c r="A67" s="34"/>
      <c r="B67" s="34"/>
      <c r="C67" s="34"/>
      <c r="D67" s="34"/>
      <c r="E67" s="34"/>
      <c r="F67" s="34"/>
      <c r="G67" s="34" t="s">
        <v>8</v>
      </c>
      <c r="H67" s="34">
        <f>AVERAGE(H55:H66)</f>
        <v>61.905865524727041</v>
      </c>
      <c r="I67" s="34"/>
      <c r="J67" s="34"/>
      <c r="K67" s="34">
        <f>AVERAGE(K55:K66)</f>
        <v>32.321364749999994</v>
      </c>
      <c r="L67" s="34"/>
      <c r="M67" s="34"/>
      <c r="N67" s="34">
        <f>AVERAGE(N55:N66)</f>
        <v>5.4642729500000007</v>
      </c>
      <c r="O67" s="34">
        <f>AVERAGE(O55:O66)</f>
        <v>39.535637700000002</v>
      </c>
    </row>
    <row r="68" spans="1:15" x14ac:dyDescent="0.3">
      <c r="A68" s="40">
        <v>44598</v>
      </c>
      <c r="B68" s="20">
        <v>0.27083333333333331</v>
      </c>
      <c r="C68" s="21">
        <v>35.799999999999997</v>
      </c>
      <c r="D68" s="33">
        <v>29.4</v>
      </c>
      <c r="E68" s="7">
        <v>26</v>
      </c>
      <c r="F68" s="11">
        <f t="shared" ref="F68:F130" si="7">C68-D68</f>
        <v>6.3999999999999986</v>
      </c>
      <c r="G68" s="23">
        <f t="shared" ref="G68:G130" si="8">D68-E68</f>
        <v>3.3999999999999986</v>
      </c>
      <c r="H68" s="24">
        <f t="shared" ref="H68:H131" si="9">(F68/(F68+G68))*100</f>
        <v>65.306122448979593</v>
      </c>
      <c r="I68" s="25">
        <v>2744</v>
      </c>
      <c r="J68" s="26">
        <f t="shared" ref="J68:J131" si="10">C68-D68</f>
        <v>6.3999999999999986</v>
      </c>
      <c r="K68" s="21">
        <f t="shared" ref="K68:K131" si="11">0.00085*1.8*I68*J68</f>
        <v>26.869247999999992</v>
      </c>
      <c r="L68" s="38">
        <v>1.75</v>
      </c>
      <c r="M68" s="30">
        <v>5</v>
      </c>
      <c r="N68" s="16">
        <f t="shared" ref="N68:N131" si="12">K68/M68-1</f>
        <v>4.373849599999998</v>
      </c>
      <c r="O68" s="13">
        <f t="shared" ref="O68:O131" si="13">K68+L68+N68</f>
        <v>32.993097599999992</v>
      </c>
    </row>
    <row r="69" spans="1:15" x14ac:dyDescent="0.3">
      <c r="A69" s="41"/>
      <c r="B69" s="20">
        <v>0.35416666666666669</v>
      </c>
      <c r="C69" s="21">
        <v>36</v>
      </c>
      <c r="D69" s="33">
        <v>29.6</v>
      </c>
      <c r="E69" s="7">
        <v>26</v>
      </c>
      <c r="F69" s="11">
        <f t="shared" si="7"/>
        <v>6.3999999999999986</v>
      </c>
      <c r="G69" s="23">
        <f t="shared" si="8"/>
        <v>3.6000000000000014</v>
      </c>
      <c r="H69" s="24">
        <f t="shared" si="9"/>
        <v>63.999999999999993</v>
      </c>
      <c r="I69" s="25">
        <v>2844</v>
      </c>
      <c r="J69" s="26">
        <f t="shared" si="10"/>
        <v>6.3999999999999986</v>
      </c>
      <c r="K69" s="21">
        <f t="shared" si="11"/>
        <v>27.848447999999991</v>
      </c>
      <c r="L69" s="38">
        <v>1.75</v>
      </c>
      <c r="M69" s="30">
        <v>5</v>
      </c>
      <c r="N69" s="16">
        <f t="shared" si="12"/>
        <v>4.5696895999999985</v>
      </c>
      <c r="O69" s="13">
        <f t="shared" si="13"/>
        <v>34.168137599999987</v>
      </c>
    </row>
    <row r="70" spans="1:15" x14ac:dyDescent="0.3">
      <c r="A70" s="41"/>
      <c r="B70" s="20">
        <v>0.4375</v>
      </c>
      <c r="C70" s="21">
        <v>36.799999999999997</v>
      </c>
      <c r="D70" s="33">
        <v>30.5</v>
      </c>
      <c r="E70" s="7">
        <v>26</v>
      </c>
      <c r="F70" s="11">
        <f t="shared" si="7"/>
        <v>6.2999999999999972</v>
      </c>
      <c r="G70" s="23">
        <f t="shared" si="8"/>
        <v>4.5</v>
      </c>
      <c r="H70" s="24">
        <f t="shared" si="9"/>
        <v>58.333333333333329</v>
      </c>
      <c r="I70" s="25">
        <v>2873</v>
      </c>
      <c r="J70" s="26">
        <f t="shared" si="10"/>
        <v>6.2999999999999972</v>
      </c>
      <c r="K70" s="21">
        <f t="shared" si="11"/>
        <v>27.69284699999999</v>
      </c>
      <c r="L70" s="38">
        <v>1.75</v>
      </c>
      <c r="M70" s="30">
        <v>5</v>
      </c>
      <c r="N70" s="16">
        <f t="shared" si="12"/>
        <v>4.5385693999999983</v>
      </c>
      <c r="O70" s="13">
        <f t="shared" si="13"/>
        <v>33.981416399999986</v>
      </c>
    </row>
    <row r="71" spans="1:15" x14ac:dyDescent="0.3">
      <c r="A71" s="41"/>
      <c r="B71" s="20">
        <v>0.52083333333333337</v>
      </c>
      <c r="C71" s="21">
        <v>38.1</v>
      </c>
      <c r="D71" s="33">
        <v>31.6</v>
      </c>
      <c r="E71" s="7">
        <v>26</v>
      </c>
      <c r="F71" s="11">
        <f t="shared" si="7"/>
        <v>6.5</v>
      </c>
      <c r="G71" s="23">
        <f t="shared" si="8"/>
        <v>5.6000000000000014</v>
      </c>
      <c r="H71" s="24">
        <f t="shared" si="9"/>
        <v>53.719008264462808</v>
      </c>
      <c r="I71" s="25">
        <v>2818</v>
      </c>
      <c r="J71" s="26">
        <f t="shared" si="10"/>
        <v>6.5</v>
      </c>
      <c r="K71" s="21">
        <f t="shared" si="11"/>
        <v>28.025009999999998</v>
      </c>
      <c r="L71" s="38">
        <v>1.75</v>
      </c>
      <c r="M71" s="30">
        <v>5</v>
      </c>
      <c r="N71" s="16">
        <f t="shared" si="12"/>
        <v>4.6050019999999998</v>
      </c>
      <c r="O71" s="13">
        <f t="shared" si="13"/>
        <v>34.380012000000001</v>
      </c>
    </row>
    <row r="72" spans="1:15" x14ac:dyDescent="0.3">
      <c r="A72" s="41"/>
      <c r="B72" s="20">
        <v>0.60416666666666663</v>
      </c>
      <c r="C72" s="21">
        <v>33.1</v>
      </c>
      <c r="D72" s="33">
        <v>31.5</v>
      </c>
      <c r="E72" s="7">
        <v>26</v>
      </c>
      <c r="F72" s="11">
        <f t="shared" si="7"/>
        <v>1.6000000000000014</v>
      </c>
      <c r="G72" s="23">
        <f t="shared" si="8"/>
        <v>5.5</v>
      </c>
      <c r="H72" s="24">
        <f t="shared" si="9"/>
        <v>22.535211267605646</v>
      </c>
      <c r="I72" s="25">
        <v>2780</v>
      </c>
      <c r="J72" s="26">
        <f t="shared" si="10"/>
        <v>1.6000000000000014</v>
      </c>
      <c r="K72" s="21">
        <f t="shared" si="11"/>
        <v>6.8054400000000062</v>
      </c>
      <c r="L72" s="38">
        <v>1.75</v>
      </c>
      <c r="M72" s="30">
        <v>5</v>
      </c>
      <c r="N72" s="16">
        <f t="shared" si="12"/>
        <v>0.36108800000000119</v>
      </c>
      <c r="O72" s="13">
        <f t="shared" si="13"/>
        <v>8.9165280000000067</v>
      </c>
    </row>
    <row r="73" spans="1:15" x14ac:dyDescent="0.3">
      <c r="A73" s="41"/>
      <c r="B73" s="20">
        <v>0.6875</v>
      </c>
      <c r="C73" s="21">
        <v>37.799999999999997</v>
      </c>
      <c r="D73" s="33">
        <v>31.3</v>
      </c>
      <c r="E73" s="7">
        <v>26</v>
      </c>
      <c r="F73" s="11">
        <f t="shared" si="7"/>
        <v>6.4999999999999964</v>
      </c>
      <c r="G73" s="23">
        <f t="shared" si="8"/>
        <v>5.3000000000000007</v>
      </c>
      <c r="H73" s="24">
        <f t="shared" si="9"/>
        <v>55.084745762711847</v>
      </c>
      <c r="I73" s="25">
        <v>2870</v>
      </c>
      <c r="J73" s="26">
        <f t="shared" si="10"/>
        <v>6.4999999999999964</v>
      </c>
      <c r="K73" s="21">
        <f t="shared" si="11"/>
        <v>28.542149999999982</v>
      </c>
      <c r="L73" s="38">
        <v>1.75</v>
      </c>
      <c r="M73" s="30">
        <v>5</v>
      </c>
      <c r="N73" s="16">
        <f t="shared" si="12"/>
        <v>4.7084299999999963</v>
      </c>
      <c r="O73" s="13">
        <f t="shared" si="13"/>
        <v>35.000579999999978</v>
      </c>
    </row>
    <row r="74" spans="1:15" x14ac:dyDescent="0.3">
      <c r="A74" s="41"/>
      <c r="B74" s="20">
        <v>0.77083333333333337</v>
      </c>
      <c r="C74" s="21">
        <v>37.9</v>
      </c>
      <c r="D74" s="33">
        <v>31.3</v>
      </c>
      <c r="E74" s="7">
        <v>26</v>
      </c>
      <c r="F74" s="11">
        <f t="shared" si="7"/>
        <v>6.5999999999999979</v>
      </c>
      <c r="G74" s="23">
        <f t="shared" si="8"/>
        <v>5.3000000000000007</v>
      </c>
      <c r="H74" s="24">
        <f t="shared" si="9"/>
        <v>55.462184873949575</v>
      </c>
      <c r="I74" s="25">
        <v>2816</v>
      </c>
      <c r="J74" s="26">
        <f t="shared" si="10"/>
        <v>6.5999999999999979</v>
      </c>
      <c r="K74" s="21">
        <f t="shared" si="11"/>
        <v>28.435967999999988</v>
      </c>
      <c r="L74" s="38">
        <v>1.75</v>
      </c>
      <c r="M74" s="30">
        <v>5</v>
      </c>
      <c r="N74" s="16">
        <f t="shared" si="12"/>
        <v>4.6871935999999979</v>
      </c>
      <c r="O74" s="13">
        <f t="shared" si="13"/>
        <v>34.873161599999989</v>
      </c>
    </row>
    <row r="75" spans="1:15" x14ac:dyDescent="0.3">
      <c r="A75" s="41"/>
      <c r="B75" s="20">
        <v>0.85416666666666663</v>
      </c>
      <c r="C75" s="21">
        <v>37.1</v>
      </c>
      <c r="D75" s="33">
        <v>31.4</v>
      </c>
      <c r="E75" s="7">
        <v>26</v>
      </c>
      <c r="F75" s="11">
        <f t="shared" si="7"/>
        <v>5.7000000000000028</v>
      </c>
      <c r="G75" s="23">
        <f t="shared" si="8"/>
        <v>5.3999999999999986</v>
      </c>
      <c r="H75" s="24">
        <f t="shared" si="9"/>
        <v>51.351351351351369</v>
      </c>
      <c r="I75" s="25">
        <v>2854</v>
      </c>
      <c r="J75" s="26">
        <f t="shared" si="10"/>
        <v>5.7000000000000028</v>
      </c>
      <c r="K75" s="21">
        <f t="shared" si="11"/>
        <v>24.889734000000008</v>
      </c>
      <c r="L75" s="38">
        <v>1.75</v>
      </c>
      <c r="M75" s="30">
        <v>5</v>
      </c>
      <c r="N75" s="16">
        <f t="shared" si="12"/>
        <v>3.9779468000000016</v>
      </c>
      <c r="O75" s="13">
        <f t="shared" si="13"/>
        <v>30.617680800000009</v>
      </c>
    </row>
    <row r="76" spans="1:15" x14ac:dyDescent="0.3">
      <c r="A76" s="41"/>
      <c r="B76" s="20">
        <v>0.9375</v>
      </c>
      <c r="C76" s="21">
        <v>36.5</v>
      </c>
      <c r="D76" s="33">
        <v>30.5</v>
      </c>
      <c r="E76" s="7">
        <v>26</v>
      </c>
      <c r="F76" s="11">
        <f t="shared" si="7"/>
        <v>6</v>
      </c>
      <c r="G76" s="23">
        <f t="shared" si="8"/>
        <v>4.5</v>
      </c>
      <c r="H76" s="24">
        <f t="shared" si="9"/>
        <v>57.142857142857139</v>
      </c>
      <c r="I76" s="25">
        <v>2960</v>
      </c>
      <c r="J76" s="26">
        <f t="shared" si="10"/>
        <v>6</v>
      </c>
      <c r="K76" s="21">
        <f t="shared" si="11"/>
        <v>27.172799999999995</v>
      </c>
      <c r="L76" s="38">
        <v>1.75</v>
      </c>
      <c r="M76" s="30">
        <v>5</v>
      </c>
      <c r="N76" s="16">
        <f t="shared" si="12"/>
        <v>4.4345599999999994</v>
      </c>
      <c r="O76" s="13">
        <f t="shared" si="13"/>
        <v>33.357359999999993</v>
      </c>
    </row>
    <row r="77" spans="1:15" x14ac:dyDescent="0.3">
      <c r="A77" s="41"/>
      <c r="B77" s="20">
        <v>2.0833333333333332E-2</v>
      </c>
      <c r="C77" s="21">
        <v>37.200000000000003</v>
      </c>
      <c r="D77" s="33">
        <v>31.3</v>
      </c>
      <c r="E77" s="7">
        <v>26</v>
      </c>
      <c r="F77" s="11">
        <f t="shared" si="7"/>
        <v>5.9000000000000021</v>
      </c>
      <c r="G77" s="23">
        <f t="shared" si="8"/>
        <v>5.3000000000000007</v>
      </c>
      <c r="H77" s="24">
        <f t="shared" si="9"/>
        <v>52.678571428571431</v>
      </c>
      <c r="I77" s="25">
        <v>2786</v>
      </c>
      <c r="J77" s="26">
        <f t="shared" si="10"/>
        <v>5.9000000000000021</v>
      </c>
      <c r="K77" s="21">
        <f t="shared" si="11"/>
        <v>25.149222000000009</v>
      </c>
      <c r="L77" s="38">
        <v>1.75</v>
      </c>
      <c r="M77" s="30">
        <v>5</v>
      </c>
      <c r="N77" s="16">
        <f t="shared" si="12"/>
        <v>4.0298444000000018</v>
      </c>
      <c r="O77" s="13">
        <f t="shared" si="13"/>
        <v>30.929066400000011</v>
      </c>
    </row>
    <row r="78" spans="1:15" x14ac:dyDescent="0.3">
      <c r="A78" s="41"/>
      <c r="B78" s="20">
        <v>0.10416666666666667</v>
      </c>
      <c r="C78" s="21">
        <v>37.799999999999997</v>
      </c>
      <c r="D78" s="33">
        <v>31.5</v>
      </c>
      <c r="E78" s="7">
        <v>26</v>
      </c>
      <c r="F78" s="11">
        <f t="shared" si="7"/>
        <v>6.2999999999999972</v>
      </c>
      <c r="G78" s="23">
        <f t="shared" si="8"/>
        <v>5.5</v>
      </c>
      <c r="H78" s="24">
        <f t="shared" si="9"/>
        <v>53.389830508474567</v>
      </c>
      <c r="I78" s="25">
        <v>2905</v>
      </c>
      <c r="J78" s="26">
        <f t="shared" si="10"/>
        <v>6.2999999999999972</v>
      </c>
      <c r="K78" s="21">
        <f t="shared" si="11"/>
        <v>28.001294999999985</v>
      </c>
      <c r="L78" s="38">
        <v>1.75</v>
      </c>
      <c r="M78" s="30">
        <v>5</v>
      </c>
      <c r="N78" s="16">
        <f t="shared" si="12"/>
        <v>4.6002589999999968</v>
      </c>
      <c r="O78" s="13">
        <f t="shared" si="13"/>
        <v>34.351553999999979</v>
      </c>
    </row>
    <row r="79" spans="1:15" x14ac:dyDescent="0.3">
      <c r="A79" s="41"/>
      <c r="B79" s="20">
        <v>0.1875</v>
      </c>
      <c r="C79" s="21">
        <v>37.5</v>
      </c>
      <c r="D79" s="33">
        <v>31.4</v>
      </c>
      <c r="E79" s="7">
        <v>26</v>
      </c>
      <c r="F79" s="11">
        <f t="shared" si="7"/>
        <v>6.1000000000000014</v>
      </c>
      <c r="G79" s="23">
        <f t="shared" si="8"/>
        <v>5.3999999999999986</v>
      </c>
      <c r="H79" s="24">
        <f t="shared" si="9"/>
        <v>53.043478260869584</v>
      </c>
      <c r="I79" s="25">
        <v>2858</v>
      </c>
      <c r="J79" s="26">
        <f t="shared" si="10"/>
        <v>6.1000000000000014</v>
      </c>
      <c r="K79" s="21">
        <f>0.00085*1.8*I79*J79</f>
        <v>26.673714000000004</v>
      </c>
      <c r="L79" s="38">
        <v>1.75</v>
      </c>
      <c r="M79" s="30">
        <v>5</v>
      </c>
      <c r="N79" s="16">
        <f t="shared" si="12"/>
        <v>4.3347428000000008</v>
      </c>
      <c r="O79" s="13">
        <f t="shared" si="13"/>
        <v>32.758456800000005</v>
      </c>
    </row>
    <row r="80" spans="1:15" s="3" customFormat="1" x14ac:dyDescent="0.3">
      <c r="A80" s="34"/>
      <c r="B80" s="34"/>
      <c r="C80" s="34"/>
      <c r="D80" s="34"/>
      <c r="E80" s="34"/>
      <c r="F80" s="34"/>
      <c r="G80" s="34" t="s">
        <v>8</v>
      </c>
      <c r="H80" s="34">
        <f>AVERAGE(H68:H79)</f>
        <v>53.50389122026391</v>
      </c>
      <c r="I80" s="34"/>
      <c r="J80" s="34"/>
      <c r="K80" s="34">
        <f>AVERAGE(K68:K79)</f>
        <v>25.508822999999996</v>
      </c>
      <c r="L80" s="34"/>
      <c r="M80" s="34"/>
      <c r="N80" s="34">
        <f>AVERAGE(N68:N79)</f>
        <v>4.1017645999999992</v>
      </c>
      <c r="O80" s="34">
        <f>AVERAGE(O68:O79)</f>
        <v>31.360587599999992</v>
      </c>
    </row>
    <row r="81" spans="1:15" x14ac:dyDescent="0.3">
      <c r="A81" s="19">
        <v>44599</v>
      </c>
      <c r="B81" s="20">
        <v>0.27083333333333331</v>
      </c>
      <c r="C81" s="21">
        <v>37.1</v>
      </c>
      <c r="D81" s="33">
        <v>31</v>
      </c>
      <c r="E81" s="7">
        <v>26</v>
      </c>
      <c r="F81" s="11">
        <f t="shared" si="7"/>
        <v>6.1000000000000014</v>
      </c>
      <c r="G81" s="23">
        <f t="shared" si="8"/>
        <v>5</v>
      </c>
      <c r="H81" s="24">
        <f t="shared" si="9"/>
        <v>54.954954954954957</v>
      </c>
      <c r="I81" s="25">
        <v>2871</v>
      </c>
      <c r="J81" s="26">
        <f t="shared" si="10"/>
        <v>6.1000000000000014</v>
      </c>
      <c r="K81" s="21">
        <f t="shared" si="11"/>
        <v>26.795043000000003</v>
      </c>
      <c r="L81" s="38">
        <v>1.75</v>
      </c>
      <c r="M81" s="30">
        <v>5</v>
      </c>
      <c r="N81" s="16">
        <f t="shared" si="12"/>
        <v>4.359008600000001</v>
      </c>
      <c r="O81" s="13">
        <f t="shared" si="13"/>
        <v>32.904051600000003</v>
      </c>
    </row>
    <row r="82" spans="1:15" x14ac:dyDescent="0.3">
      <c r="A82" s="19"/>
      <c r="B82" s="20">
        <v>0.35416666666666669</v>
      </c>
      <c r="C82" s="21">
        <v>37.1</v>
      </c>
      <c r="D82" s="33">
        <v>31</v>
      </c>
      <c r="E82" s="7">
        <v>26</v>
      </c>
      <c r="F82" s="11">
        <f t="shared" si="7"/>
        <v>6.1000000000000014</v>
      </c>
      <c r="G82" s="23">
        <f t="shared" si="8"/>
        <v>5</v>
      </c>
      <c r="H82" s="24">
        <f t="shared" si="9"/>
        <v>54.954954954954957</v>
      </c>
      <c r="I82" s="25">
        <v>2961</v>
      </c>
      <c r="J82" s="26">
        <f t="shared" si="10"/>
        <v>6.1000000000000014</v>
      </c>
      <c r="K82" s="21">
        <f t="shared" si="11"/>
        <v>27.635013000000001</v>
      </c>
      <c r="L82" s="38">
        <v>1.75</v>
      </c>
      <c r="M82" s="30">
        <v>5</v>
      </c>
      <c r="N82" s="16">
        <f t="shared" si="12"/>
        <v>4.5270026000000003</v>
      </c>
      <c r="O82" s="13">
        <f t="shared" si="13"/>
        <v>33.912015600000004</v>
      </c>
    </row>
    <row r="83" spans="1:15" x14ac:dyDescent="0.3">
      <c r="A83" s="19"/>
      <c r="B83" s="20">
        <v>0.4375</v>
      </c>
      <c r="C83" s="21">
        <v>38.1</v>
      </c>
      <c r="D83" s="33">
        <v>33.200000000000003</v>
      </c>
      <c r="E83" s="7">
        <v>26</v>
      </c>
      <c r="F83" s="11">
        <f t="shared" si="7"/>
        <v>4.8999999999999986</v>
      </c>
      <c r="G83" s="23">
        <f t="shared" si="8"/>
        <v>7.2000000000000028</v>
      </c>
      <c r="H83" s="24">
        <f t="shared" si="9"/>
        <v>40.495867768595026</v>
      </c>
      <c r="I83" s="25">
        <v>2861</v>
      </c>
      <c r="J83" s="26">
        <f t="shared" si="10"/>
        <v>4.8999999999999986</v>
      </c>
      <c r="K83" s="21">
        <f t="shared" si="11"/>
        <v>21.448916999999991</v>
      </c>
      <c r="L83" s="38">
        <v>1.75</v>
      </c>
      <c r="M83" s="30">
        <v>5</v>
      </c>
      <c r="N83" s="16">
        <f t="shared" si="12"/>
        <v>3.2897833999999984</v>
      </c>
      <c r="O83" s="13">
        <f t="shared" si="13"/>
        <v>26.488700399999988</v>
      </c>
    </row>
    <row r="84" spans="1:15" x14ac:dyDescent="0.3">
      <c r="A84" s="19"/>
      <c r="B84" s="20">
        <v>0.52083333333333337</v>
      </c>
      <c r="C84" s="21">
        <v>38.1</v>
      </c>
      <c r="D84" s="33">
        <v>32</v>
      </c>
      <c r="E84" s="7">
        <v>26</v>
      </c>
      <c r="F84" s="11">
        <f t="shared" si="7"/>
        <v>6.1000000000000014</v>
      </c>
      <c r="G84" s="23">
        <f t="shared" si="8"/>
        <v>6</v>
      </c>
      <c r="H84" s="24">
        <f t="shared" si="9"/>
        <v>50.41322314049588</v>
      </c>
      <c r="I84" s="25">
        <v>2861</v>
      </c>
      <c r="J84" s="26">
        <f t="shared" si="10"/>
        <v>6.1000000000000014</v>
      </c>
      <c r="K84" s="21">
        <f t="shared" si="11"/>
        <v>26.701713000000005</v>
      </c>
      <c r="L84" s="38">
        <v>1.75</v>
      </c>
      <c r="M84" s="30">
        <v>5</v>
      </c>
      <c r="N84" s="16">
        <f t="shared" si="12"/>
        <v>4.3403426000000014</v>
      </c>
      <c r="O84" s="13">
        <f t="shared" si="13"/>
        <v>32.792055600000005</v>
      </c>
    </row>
    <row r="85" spans="1:15" x14ac:dyDescent="0.3">
      <c r="A85" s="19"/>
      <c r="B85" s="20">
        <v>0.60416666666666663</v>
      </c>
      <c r="C85" s="21">
        <v>38.4</v>
      </c>
      <c r="D85" s="33">
        <v>32.4</v>
      </c>
      <c r="E85" s="7">
        <v>26</v>
      </c>
      <c r="F85" s="11">
        <f t="shared" si="7"/>
        <v>6</v>
      </c>
      <c r="G85" s="23">
        <f t="shared" si="8"/>
        <v>6.3999999999999986</v>
      </c>
      <c r="H85" s="24">
        <f t="shared" si="9"/>
        <v>48.387096774193559</v>
      </c>
      <c r="I85" s="25">
        <v>2930</v>
      </c>
      <c r="J85" s="26">
        <f t="shared" si="10"/>
        <v>6</v>
      </c>
      <c r="K85" s="21">
        <f t="shared" si="11"/>
        <v>26.897399999999998</v>
      </c>
      <c r="L85" s="38">
        <v>1.75</v>
      </c>
      <c r="M85" s="30">
        <v>5</v>
      </c>
      <c r="N85" s="16">
        <f t="shared" si="12"/>
        <v>4.3794799999999992</v>
      </c>
      <c r="O85" s="13">
        <f t="shared" si="13"/>
        <v>33.026879999999998</v>
      </c>
    </row>
    <row r="86" spans="1:15" x14ac:dyDescent="0.3">
      <c r="A86" s="19"/>
      <c r="B86" s="20">
        <v>0.6875</v>
      </c>
      <c r="C86" s="21">
        <v>38.5</v>
      </c>
      <c r="D86" s="33">
        <v>32.5</v>
      </c>
      <c r="E86" s="7">
        <v>26</v>
      </c>
      <c r="F86" s="11">
        <f t="shared" si="7"/>
        <v>6</v>
      </c>
      <c r="G86" s="23">
        <f t="shared" si="8"/>
        <v>6.5</v>
      </c>
      <c r="H86" s="24">
        <f t="shared" si="9"/>
        <v>48</v>
      </c>
      <c r="I86" s="25">
        <v>2901</v>
      </c>
      <c r="J86" s="26">
        <f t="shared" si="10"/>
        <v>6</v>
      </c>
      <c r="K86" s="21">
        <f t="shared" si="11"/>
        <v>26.631180000000001</v>
      </c>
      <c r="L86" s="38">
        <v>1.75</v>
      </c>
      <c r="M86" s="30">
        <v>5</v>
      </c>
      <c r="N86" s="16">
        <f t="shared" si="12"/>
        <v>4.3262359999999997</v>
      </c>
      <c r="O86" s="13">
        <f t="shared" si="13"/>
        <v>32.707416000000002</v>
      </c>
    </row>
    <row r="87" spans="1:15" x14ac:dyDescent="0.3">
      <c r="A87" s="19"/>
      <c r="B87" s="20">
        <v>0.77083333333333337</v>
      </c>
      <c r="C87" s="21">
        <v>38.5</v>
      </c>
      <c r="D87" s="33">
        <v>32.4</v>
      </c>
      <c r="E87" s="7">
        <v>26</v>
      </c>
      <c r="F87" s="11">
        <f t="shared" si="7"/>
        <v>6.1000000000000014</v>
      </c>
      <c r="G87" s="23">
        <f t="shared" si="8"/>
        <v>6.3999999999999986</v>
      </c>
      <c r="H87" s="24">
        <f t="shared" si="9"/>
        <v>48.800000000000011</v>
      </c>
      <c r="I87" s="25">
        <v>2811</v>
      </c>
      <c r="J87" s="26">
        <f t="shared" si="10"/>
        <v>6.1000000000000014</v>
      </c>
      <c r="K87" s="21">
        <f t="shared" si="11"/>
        <v>26.235063000000004</v>
      </c>
      <c r="L87" s="38">
        <v>1.75</v>
      </c>
      <c r="M87" s="30">
        <v>5</v>
      </c>
      <c r="N87" s="16">
        <f t="shared" si="12"/>
        <v>4.2470126000000006</v>
      </c>
      <c r="O87" s="13">
        <f t="shared" si="13"/>
        <v>32.232075600000002</v>
      </c>
    </row>
    <row r="88" spans="1:15" x14ac:dyDescent="0.3">
      <c r="A88" s="19"/>
      <c r="B88" s="20">
        <v>0.85416666666666663</v>
      </c>
      <c r="C88" s="21">
        <v>38.5</v>
      </c>
      <c r="D88" s="33">
        <v>32.4</v>
      </c>
      <c r="E88" s="7">
        <v>26</v>
      </c>
      <c r="F88" s="11">
        <f t="shared" si="7"/>
        <v>6.1000000000000014</v>
      </c>
      <c r="G88" s="23">
        <f t="shared" si="8"/>
        <v>6.3999999999999986</v>
      </c>
      <c r="H88" s="24">
        <f t="shared" si="9"/>
        <v>48.800000000000011</v>
      </c>
      <c r="I88" s="25">
        <v>2889</v>
      </c>
      <c r="J88" s="26">
        <f t="shared" si="10"/>
        <v>6.1000000000000014</v>
      </c>
      <c r="K88" s="21">
        <f t="shared" si="11"/>
        <v>26.963037000000003</v>
      </c>
      <c r="L88" s="38">
        <v>1.75</v>
      </c>
      <c r="M88" s="30">
        <v>5</v>
      </c>
      <c r="N88" s="16">
        <f t="shared" si="12"/>
        <v>4.392607400000001</v>
      </c>
      <c r="O88" s="13">
        <f t="shared" si="13"/>
        <v>33.105644400000003</v>
      </c>
    </row>
    <row r="89" spans="1:15" x14ac:dyDescent="0.3">
      <c r="A89" s="19"/>
      <c r="B89" s="20">
        <v>0.9375</v>
      </c>
      <c r="C89" s="21">
        <v>39.200000000000003</v>
      </c>
      <c r="D89" s="33">
        <v>32.9</v>
      </c>
      <c r="E89" s="7">
        <v>26</v>
      </c>
      <c r="F89" s="11">
        <f t="shared" si="7"/>
        <v>6.3000000000000043</v>
      </c>
      <c r="G89" s="23">
        <f t="shared" si="8"/>
        <v>6.8999999999999986</v>
      </c>
      <c r="H89" s="24">
        <f t="shared" si="9"/>
        <v>47.727272727272748</v>
      </c>
      <c r="I89" s="25">
        <v>2920</v>
      </c>
      <c r="J89" s="26">
        <f t="shared" si="10"/>
        <v>6.3000000000000043</v>
      </c>
      <c r="K89" s="21">
        <f t="shared" si="11"/>
        <v>28.14588000000002</v>
      </c>
      <c r="L89" s="38">
        <v>1.75</v>
      </c>
      <c r="M89" s="30">
        <v>5</v>
      </c>
      <c r="N89" s="16">
        <f t="shared" si="12"/>
        <v>4.6291760000000037</v>
      </c>
      <c r="O89" s="13">
        <f t="shared" si="13"/>
        <v>34.525056000000021</v>
      </c>
    </row>
    <row r="90" spans="1:15" x14ac:dyDescent="0.3">
      <c r="A90" s="19"/>
      <c r="B90" s="20">
        <v>2.0833333333333332E-2</v>
      </c>
      <c r="C90" s="21">
        <v>39.1</v>
      </c>
      <c r="D90" s="33">
        <v>32.700000000000003</v>
      </c>
      <c r="E90" s="7">
        <v>26</v>
      </c>
      <c r="F90" s="11">
        <f t="shared" si="7"/>
        <v>6.3999999999999986</v>
      </c>
      <c r="G90" s="23">
        <f t="shared" si="8"/>
        <v>6.7000000000000028</v>
      </c>
      <c r="H90" s="24">
        <f t="shared" si="9"/>
        <v>48.854961832061051</v>
      </c>
      <c r="I90" s="25">
        <v>2946</v>
      </c>
      <c r="J90" s="26">
        <f t="shared" si="10"/>
        <v>6.3999999999999986</v>
      </c>
      <c r="K90" s="21">
        <f t="shared" si="11"/>
        <v>28.847231999999991</v>
      </c>
      <c r="L90" s="38">
        <v>1.75</v>
      </c>
      <c r="M90" s="30">
        <v>5</v>
      </c>
      <c r="N90" s="16">
        <f t="shared" si="12"/>
        <v>4.7694463999999979</v>
      </c>
      <c r="O90" s="13">
        <f t="shared" si="13"/>
        <v>35.366678399999991</v>
      </c>
    </row>
    <row r="91" spans="1:15" x14ac:dyDescent="0.3">
      <c r="A91" s="19"/>
      <c r="B91" s="20">
        <v>0.10416666666666667</v>
      </c>
      <c r="C91" s="21">
        <v>39.299999999999997</v>
      </c>
      <c r="D91" s="33">
        <v>32.700000000000003</v>
      </c>
      <c r="E91" s="7">
        <v>26</v>
      </c>
      <c r="F91" s="11">
        <f t="shared" si="7"/>
        <v>6.5999999999999943</v>
      </c>
      <c r="G91" s="23">
        <f t="shared" si="8"/>
        <v>6.7000000000000028</v>
      </c>
      <c r="H91" s="24">
        <f t="shared" si="9"/>
        <v>49.624060150375911</v>
      </c>
      <c r="I91" s="25">
        <v>2927</v>
      </c>
      <c r="J91" s="26">
        <f t="shared" si="10"/>
        <v>6.5999999999999943</v>
      </c>
      <c r="K91" s="21">
        <f t="shared" si="11"/>
        <v>29.556845999999972</v>
      </c>
      <c r="L91" s="38">
        <v>1.75</v>
      </c>
      <c r="M91" s="30">
        <v>5</v>
      </c>
      <c r="N91" s="16">
        <f t="shared" si="12"/>
        <v>4.911369199999994</v>
      </c>
      <c r="O91" s="13">
        <f t="shared" si="13"/>
        <v>36.218215199999968</v>
      </c>
    </row>
    <row r="92" spans="1:15" x14ac:dyDescent="0.3">
      <c r="A92" s="19"/>
      <c r="B92" s="20">
        <v>0.1875</v>
      </c>
      <c r="C92" s="21">
        <v>39.4</v>
      </c>
      <c r="D92" s="33">
        <v>32.9</v>
      </c>
      <c r="E92" s="7">
        <v>26</v>
      </c>
      <c r="F92" s="11">
        <f t="shared" si="7"/>
        <v>6.5</v>
      </c>
      <c r="G92" s="23">
        <f t="shared" si="8"/>
        <v>6.8999999999999986</v>
      </c>
      <c r="H92" s="24">
        <f t="shared" si="9"/>
        <v>48.507462686567173</v>
      </c>
      <c r="I92" s="25">
        <v>2930</v>
      </c>
      <c r="J92" s="26">
        <f t="shared" si="10"/>
        <v>6.5</v>
      </c>
      <c r="K92" s="21">
        <f t="shared" si="11"/>
        <v>29.138849999999998</v>
      </c>
      <c r="L92" s="38">
        <v>1.75</v>
      </c>
      <c r="M92" s="30">
        <v>5</v>
      </c>
      <c r="N92" s="16">
        <f t="shared" si="12"/>
        <v>4.8277699999999992</v>
      </c>
      <c r="O92" s="13">
        <f t="shared" si="13"/>
        <v>35.716619999999999</v>
      </c>
    </row>
    <row r="93" spans="1:15" s="3" customFormat="1" x14ac:dyDescent="0.3">
      <c r="A93" s="34"/>
      <c r="B93" s="34"/>
      <c r="C93" s="34"/>
      <c r="D93" s="34"/>
      <c r="E93" s="34"/>
      <c r="F93" s="34"/>
      <c r="G93" s="34" t="s">
        <v>8</v>
      </c>
      <c r="H93" s="34">
        <f>AVERAGE(H81:H92)</f>
        <v>49.126654582455934</v>
      </c>
      <c r="I93" s="34"/>
      <c r="J93" s="34"/>
      <c r="K93" s="34">
        <f>AVERAGE(K81:K92)</f>
        <v>27.083014499999994</v>
      </c>
      <c r="L93" s="34"/>
      <c r="M93" s="34"/>
      <c r="N93" s="34">
        <f>AVERAGE(N81:N92)</f>
        <v>4.4166029</v>
      </c>
      <c r="O93" s="34">
        <f>AVERAGE(O81:O92)</f>
        <v>33.249617399999998</v>
      </c>
    </row>
    <row r="94" spans="1:15" x14ac:dyDescent="0.3">
      <c r="A94" s="40">
        <v>44600</v>
      </c>
      <c r="B94" s="20">
        <v>0.27083333333333331</v>
      </c>
      <c r="C94" s="21">
        <v>39</v>
      </c>
      <c r="D94" s="33">
        <v>32.6</v>
      </c>
      <c r="E94" s="7">
        <v>26</v>
      </c>
      <c r="F94" s="11">
        <f t="shared" si="7"/>
        <v>6.3999999999999986</v>
      </c>
      <c r="G94" s="23">
        <f t="shared" si="8"/>
        <v>6.6000000000000014</v>
      </c>
      <c r="H94" s="24">
        <f t="shared" si="9"/>
        <v>49.230769230769219</v>
      </c>
      <c r="I94" s="25">
        <v>3043</v>
      </c>
      <c r="J94" s="26">
        <f t="shared" si="10"/>
        <v>6.3999999999999986</v>
      </c>
      <c r="K94" s="21">
        <f t="shared" si="11"/>
        <v>29.797055999999991</v>
      </c>
      <c r="L94" s="38">
        <v>1.75</v>
      </c>
      <c r="M94" s="30">
        <v>5</v>
      </c>
      <c r="N94" s="16">
        <f t="shared" si="12"/>
        <v>4.9594111999999981</v>
      </c>
      <c r="O94" s="13">
        <f t="shared" si="13"/>
        <v>36.506467199999989</v>
      </c>
    </row>
    <row r="95" spans="1:15" x14ac:dyDescent="0.3">
      <c r="A95" s="41"/>
      <c r="B95" s="20">
        <v>0.35416666666666669</v>
      </c>
      <c r="C95" s="21">
        <v>39</v>
      </c>
      <c r="D95" s="33">
        <v>32.6</v>
      </c>
      <c r="E95" s="7">
        <v>26</v>
      </c>
      <c r="F95" s="11">
        <f t="shared" si="7"/>
        <v>6.3999999999999986</v>
      </c>
      <c r="G95" s="23">
        <f t="shared" si="8"/>
        <v>6.6000000000000014</v>
      </c>
      <c r="H95" s="24">
        <f t="shared" si="9"/>
        <v>49.230769230769219</v>
      </c>
      <c r="I95" s="25">
        <v>2953</v>
      </c>
      <c r="J95" s="26">
        <f t="shared" si="10"/>
        <v>6.3999999999999986</v>
      </c>
      <c r="K95" s="21">
        <f t="shared" si="11"/>
        <v>28.915775999999994</v>
      </c>
      <c r="L95" s="38">
        <v>1.75</v>
      </c>
      <c r="M95" s="30">
        <v>5</v>
      </c>
      <c r="N95" s="16">
        <f t="shared" si="12"/>
        <v>4.7831551999999986</v>
      </c>
      <c r="O95" s="13">
        <f t="shared" si="13"/>
        <v>35.44893119999999</v>
      </c>
    </row>
    <row r="96" spans="1:15" x14ac:dyDescent="0.3">
      <c r="A96" s="41"/>
      <c r="B96" s="20">
        <v>0.4375</v>
      </c>
      <c r="C96" s="21">
        <v>39.6</v>
      </c>
      <c r="D96" s="33">
        <v>33.299999999999997</v>
      </c>
      <c r="E96" s="7">
        <v>26</v>
      </c>
      <c r="F96" s="11">
        <f t="shared" si="7"/>
        <v>6.3000000000000043</v>
      </c>
      <c r="G96" s="23">
        <f t="shared" si="8"/>
        <v>7.2999999999999972</v>
      </c>
      <c r="H96" s="24">
        <f t="shared" si="9"/>
        <v>46.323529411764731</v>
      </c>
      <c r="I96" s="25">
        <v>2890</v>
      </c>
      <c r="J96" s="26">
        <f t="shared" si="10"/>
        <v>6.3000000000000043</v>
      </c>
      <c r="K96" s="21">
        <f t="shared" si="11"/>
        <v>27.856710000000017</v>
      </c>
      <c r="L96" s="38">
        <v>1.75</v>
      </c>
      <c r="M96" s="30">
        <v>5</v>
      </c>
      <c r="N96" s="16">
        <f t="shared" si="12"/>
        <v>4.5713420000000031</v>
      </c>
      <c r="O96" s="13">
        <f t="shared" si="13"/>
        <v>34.178052000000022</v>
      </c>
    </row>
    <row r="97" spans="1:15" x14ac:dyDescent="0.3">
      <c r="A97" s="41"/>
      <c r="B97" s="20">
        <v>0.52083333333333337</v>
      </c>
      <c r="C97" s="21">
        <v>40.299999999999997</v>
      </c>
      <c r="D97" s="33">
        <v>33.9</v>
      </c>
      <c r="E97" s="7">
        <v>26</v>
      </c>
      <c r="F97" s="11">
        <f t="shared" si="7"/>
        <v>6.3999999999999986</v>
      </c>
      <c r="G97" s="23">
        <f t="shared" si="8"/>
        <v>7.8999999999999986</v>
      </c>
      <c r="H97" s="24">
        <f t="shared" si="9"/>
        <v>44.755244755244753</v>
      </c>
      <c r="I97" s="25">
        <v>3008</v>
      </c>
      <c r="J97" s="26">
        <f t="shared" si="10"/>
        <v>6.3999999999999986</v>
      </c>
      <c r="K97" s="21">
        <f t="shared" si="11"/>
        <v>29.454335999999994</v>
      </c>
      <c r="L97" s="38">
        <v>1.75</v>
      </c>
      <c r="M97" s="30">
        <v>5</v>
      </c>
      <c r="N97" s="16">
        <f t="shared" si="12"/>
        <v>4.8908671999999989</v>
      </c>
      <c r="O97" s="13">
        <f t="shared" si="13"/>
        <v>36.095203199999993</v>
      </c>
    </row>
    <row r="98" spans="1:15" x14ac:dyDescent="0.3">
      <c r="A98" s="41"/>
      <c r="B98" s="20">
        <v>0.60416666666666663</v>
      </c>
      <c r="C98" s="21">
        <v>39.799999999999997</v>
      </c>
      <c r="D98" s="33">
        <v>33.5</v>
      </c>
      <c r="E98" s="7">
        <v>26</v>
      </c>
      <c r="F98" s="11">
        <f t="shared" si="7"/>
        <v>6.2999999999999972</v>
      </c>
      <c r="G98" s="23">
        <f t="shared" si="8"/>
        <v>7.5</v>
      </c>
      <c r="H98" s="24">
        <f t="shared" si="9"/>
        <v>45.652173913043463</v>
      </c>
      <c r="I98" s="25">
        <v>2930</v>
      </c>
      <c r="J98" s="26">
        <f t="shared" si="10"/>
        <v>6.2999999999999972</v>
      </c>
      <c r="K98" s="21">
        <f t="shared" si="11"/>
        <v>28.242269999999987</v>
      </c>
      <c r="L98" s="38">
        <v>1.75</v>
      </c>
      <c r="M98" s="30">
        <v>5</v>
      </c>
      <c r="N98" s="16">
        <f t="shared" si="12"/>
        <v>4.6484539999999974</v>
      </c>
      <c r="O98" s="13">
        <f t="shared" si="13"/>
        <v>34.640723999999985</v>
      </c>
    </row>
    <row r="99" spans="1:15" x14ac:dyDescent="0.3">
      <c r="A99" s="41"/>
      <c r="B99" s="20">
        <v>0.6875</v>
      </c>
      <c r="C99" s="21">
        <v>39.4</v>
      </c>
      <c r="D99" s="33">
        <v>33</v>
      </c>
      <c r="E99" s="7">
        <v>26</v>
      </c>
      <c r="F99" s="11">
        <f t="shared" si="7"/>
        <v>6.3999999999999986</v>
      </c>
      <c r="G99" s="23">
        <f t="shared" si="8"/>
        <v>7</v>
      </c>
      <c r="H99" s="24">
        <f t="shared" si="9"/>
        <v>47.761194029850742</v>
      </c>
      <c r="I99" s="25">
        <v>2910</v>
      </c>
      <c r="J99" s="26">
        <f t="shared" si="10"/>
        <v>6.3999999999999986</v>
      </c>
      <c r="K99" s="21">
        <f t="shared" si="11"/>
        <v>28.49471999999999</v>
      </c>
      <c r="L99" s="38">
        <v>1.75</v>
      </c>
      <c r="M99" s="30">
        <v>5</v>
      </c>
      <c r="N99" s="16">
        <f t="shared" si="12"/>
        <v>4.6989439999999982</v>
      </c>
      <c r="O99" s="13">
        <f t="shared" si="13"/>
        <v>34.943663999999991</v>
      </c>
    </row>
    <row r="100" spans="1:15" x14ac:dyDescent="0.3">
      <c r="A100" s="41"/>
      <c r="B100" s="20">
        <v>0.77083333333333337</v>
      </c>
      <c r="C100" s="21">
        <v>39.5</v>
      </c>
      <c r="D100" s="33">
        <v>33.1</v>
      </c>
      <c r="E100" s="7">
        <v>26</v>
      </c>
      <c r="F100" s="11">
        <f t="shared" si="7"/>
        <v>6.3999999999999986</v>
      </c>
      <c r="G100" s="23">
        <f t="shared" si="8"/>
        <v>7.1000000000000014</v>
      </c>
      <c r="H100" s="24">
        <f t="shared" si="9"/>
        <v>47.407407407407398</v>
      </c>
      <c r="I100" s="25">
        <v>3000</v>
      </c>
      <c r="J100" s="26">
        <f t="shared" si="10"/>
        <v>6.3999999999999986</v>
      </c>
      <c r="K100" s="21">
        <f t="shared" si="11"/>
        <v>29.375999999999994</v>
      </c>
      <c r="L100" s="38">
        <v>1.75</v>
      </c>
      <c r="M100" s="30">
        <v>5</v>
      </c>
      <c r="N100" s="16">
        <f t="shared" si="12"/>
        <v>4.8751999999999986</v>
      </c>
      <c r="O100" s="13">
        <f t="shared" si="13"/>
        <v>36.00119999999999</v>
      </c>
    </row>
    <row r="101" spans="1:15" x14ac:dyDescent="0.3">
      <c r="A101" s="41"/>
      <c r="B101" s="20">
        <v>0.85416666666666663</v>
      </c>
      <c r="C101" s="21">
        <v>39.9</v>
      </c>
      <c r="D101" s="33">
        <v>33.5</v>
      </c>
      <c r="E101" s="7">
        <v>26</v>
      </c>
      <c r="F101" s="11">
        <f t="shared" si="7"/>
        <v>6.3999999999999986</v>
      </c>
      <c r="G101" s="23">
        <f t="shared" si="8"/>
        <v>7.5</v>
      </c>
      <c r="H101" s="24">
        <f t="shared" si="9"/>
        <v>46.043165467625897</v>
      </c>
      <c r="I101" s="25">
        <v>2972</v>
      </c>
      <c r="J101" s="26">
        <f t="shared" si="10"/>
        <v>6.3999999999999986</v>
      </c>
      <c r="K101" s="21">
        <f t="shared" si="11"/>
        <v>29.101823999999993</v>
      </c>
      <c r="L101" s="38">
        <v>1.75</v>
      </c>
      <c r="M101" s="30">
        <v>5</v>
      </c>
      <c r="N101" s="16">
        <f t="shared" si="12"/>
        <v>4.8203647999999983</v>
      </c>
      <c r="O101" s="13">
        <f t="shared" si="13"/>
        <v>35.672188799999994</v>
      </c>
    </row>
    <row r="102" spans="1:15" x14ac:dyDescent="0.3">
      <c r="A102" s="41"/>
      <c r="B102" s="20">
        <v>0.9375</v>
      </c>
      <c r="C102" s="21">
        <v>39.9</v>
      </c>
      <c r="D102" s="33">
        <v>33.5</v>
      </c>
      <c r="E102" s="7">
        <v>26</v>
      </c>
      <c r="F102" s="11">
        <f t="shared" si="7"/>
        <v>6.3999999999999986</v>
      </c>
      <c r="G102" s="23">
        <f t="shared" si="8"/>
        <v>7.5</v>
      </c>
      <c r="H102" s="24">
        <f t="shared" si="9"/>
        <v>46.043165467625897</v>
      </c>
      <c r="I102" s="25">
        <v>2969</v>
      </c>
      <c r="J102" s="26">
        <f t="shared" si="10"/>
        <v>6.3999999999999986</v>
      </c>
      <c r="K102" s="21">
        <f t="shared" si="11"/>
        <v>29.072447999999991</v>
      </c>
      <c r="L102" s="38">
        <v>1.75</v>
      </c>
      <c r="M102" s="30">
        <v>5</v>
      </c>
      <c r="N102" s="16">
        <f t="shared" si="12"/>
        <v>4.8144895999999981</v>
      </c>
      <c r="O102" s="13">
        <f t="shared" si="13"/>
        <v>35.636937599999989</v>
      </c>
    </row>
    <row r="103" spans="1:15" x14ac:dyDescent="0.3">
      <c r="A103" s="41"/>
      <c r="B103" s="20">
        <v>2.0833333333333332E-2</v>
      </c>
      <c r="C103" s="21">
        <v>40.1</v>
      </c>
      <c r="D103" s="33">
        <v>33.6</v>
      </c>
      <c r="E103" s="7">
        <v>26</v>
      </c>
      <c r="F103" s="11">
        <f t="shared" si="7"/>
        <v>6.5</v>
      </c>
      <c r="G103" s="23">
        <f t="shared" si="8"/>
        <v>7.6000000000000014</v>
      </c>
      <c r="H103" s="24">
        <f t="shared" si="9"/>
        <v>46.099290780141835</v>
      </c>
      <c r="I103" s="25">
        <v>2973</v>
      </c>
      <c r="J103" s="26">
        <f t="shared" si="10"/>
        <v>6.5</v>
      </c>
      <c r="K103" s="21">
        <f t="shared" si="11"/>
        <v>29.566484999999997</v>
      </c>
      <c r="L103" s="38">
        <v>1.75</v>
      </c>
      <c r="M103" s="30">
        <v>5</v>
      </c>
      <c r="N103" s="16">
        <f t="shared" si="12"/>
        <v>4.9132969999999991</v>
      </c>
      <c r="O103" s="13">
        <f t="shared" si="13"/>
        <v>36.229781999999993</v>
      </c>
    </row>
    <row r="104" spans="1:15" x14ac:dyDescent="0.3">
      <c r="A104" s="41"/>
      <c r="B104" s="20">
        <v>0.10416666666666667</v>
      </c>
      <c r="C104" s="21">
        <v>40.1</v>
      </c>
      <c r="D104" s="33">
        <v>33.5</v>
      </c>
      <c r="E104" s="7">
        <v>26</v>
      </c>
      <c r="F104" s="11">
        <f t="shared" si="7"/>
        <v>6.6000000000000014</v>
      </c>
      <c r="G104" s="23">
        <f t="shared" si="8"/>
        <v>7.5</v>
      </c>
      <c r="H104" s="24">
        <f t="shared" si="9"/>
        <v>46.808510638297882</v>
      </c>
      <c r="I104" s="25">
        <v>2920</v>
      </c>
      <c r="J104" s="26">
        <f t="shared" si="10"/>
        <v>6.6000000000000014</v>
      </c>
      <c r="K104" s="21">
        <f t="shared" si="11"/>
        <v>29.486160000000005</v>
      </c>
      <c r="L104" s="38">
        <v>1.75</v>
      </c>
      <c r="M104" s="30">
        <v>5</v>
      </c>
      <c r="N104" s="16">
        <f t="shared" si="12"/>
        <v>4.8972320000000007</v>
      </c>
      <c r="O104" s="13">
        <f t="shared" si="13"/>
        <v>36.133392000000008</v>
      </c>
    </row>
    <row r="105" spans="1:15" x14ac:dyDescent="0.3">
      <c r="A105" s="41"/>
      <c r="B105" s="20">
        <v>0.1875</v>
      </c>
      <c r="C105" s="21">
        <v>39.5</v>
      </c>
      <c r="D105" s="33">
        <v>33.1</v>
      </c>
      <c r="E105" s="7">
        <v>26</v>
      </c>
      <c r="F105" s="11">
        <f t="shared" si="7"/>
        <v>6.3999999999999986</v>
      </c>
      <c r="G105" s="23">
        <f t="shared" si="8"/>
        <v>7.1000000000000014</v>
      </c>
      <c r="H105" s="24">
        <f t="shared" si="9"/>
        <v>47.407407407407398</v>
      </c>
      <c r="I105" s="25">
        <v>3027</v>
      </c>
      <c r="J105" s="26">
        <f t="shared" si="10"/>
        <v>6.3999999999999986</v>
      </c>
      <c r="K105" s="21">
        <f t="shared" si="11"/>
        <v>29.640383999999994</v>
      </c>
      <c r="L105" s="38">
        <v>1.75</v>
      </c>
      <c r="M105" s="30">
        <v>5</v>
      </c>
      <c r="N105" s="16">
        <f t="shared" si="12"/>
        <v>4.9280767999999986</v>
      </c>
      <c r="O105" s="13">
        <f t="shared" si="13"/>
        <v>36.31846079999999</v>
      </c>
    </row>
    <row r="106" spans="1:15" s="3" customFormat="1" x14ac:dyDescent="0.3">
      <c r="A106" s="34"/>
      <c r="B106" s="34"/>
      <c r="C106" s="34"/>
      <c r="D106" s="34"/>
      <c r="E106" s="34"/>
      <c r="F106" s="34"/>
      <c r="G106" s="34" t="s">
        <v>8</v>
      </c>
      <c r="H106" s="34">
        <f>AVERAGE(H94:H105)</f>
        <v>46.896885644995699</v>
      </c>
      <c r="I106" s="34"/>
      <c r="J106" s="34"/>
      <c r="K106" s="34">
        <f>AVERAGE(K94:K105)</f>
        <v>29.083680749999996</v>
      </c>
      <c r="L106" s="34"/>
      <c r="M106" s="34"/>
      <c r="N106" s="34">
        <f>AVERAGE(N94:N105)</f>
        <v>4.8167361499999997</v>
      </c>
      <c r="O106" s="34">
        <f>AVERAGE(O94:O105)</f>
        <v>35.650416899999996</v>
      </c>
    </row>
    <row r="107" spans="1:15" x14ac:dyDescent="0.3">
      <c r="A107" s="19">
        <v>44601</v>
      </c>
      <c r="B107" s="20">
        <v>0.27083333333333331</v>
      </c>
      <c r="C107" s="21">
        <v>39.5</v>
      </c>
      <c r="D107" s="33">
        <v>33</v>
      </c>
      <c r="E107" s="7">
        <v>26</v>
      </c>
      <c r="F107" s="11">
        <f t="shared" si="7"/>
        <v>6.5</v>
      </c>
      <c r="G107" s="23">
        <f t="shared" si="8"/>
        <v>7</v>
      </c>
      <c r="H107" s="24">
        <f t="shared" si="9"/>
        <v>48.148148148148145</v>
      </c>
      <c r="I107" s="25">
        <v>2954</v>
      </c>
      <c r="J107" s="26">
        <f t="shared" si="10"/>
        <v>6.5</v>
      </c>
      <c r="K107" s="21">
        <f t="shared" si="11"/>
        <v>29.37753</v>
      </c>
      <c r="L107" s="38">
        <v>1.75</v>
      </c>
      <c r="M107" s="30">
        <v>5</v>
      </c>
      <c r="N107" s="16">
        <f t="shared" si="12"/>
        <v>4.8755059999999997</v>
      </c>
      <c r="O107" s="13">
        <f t="shared" si="13"/>
        <v>36.003036000000002</v>
      </c>
    </row>
    <row r="108" spans="1:15" x14ac:dyDescent="0.3">
      <c r="A108" s="19"/>
      <c r="B108" s="20">
        <v>0.35416666666666669</v>
      </c>
      <c r="C108" s="21">
        <v>39.1</v>
      </c>
      <c r="D108" s="33">
        <v>33</v>
      </c>
      <c r="E108" s="7">
        <v>26</v>
      </c>
      <c r="F108" s="11">
        <f t="shared" si="7"/>
        <v>6.1000000000000014</v>
      </c>
      <c r="G108" s="23">
        <f t="shared" si="8"/>
        <v>7</v>
      </c>
      <c r="H108" s="24">
        <f t="shared" si="9"/>
        <v>46.564885496183209</v>
      </c>
      <c r="I108" s="25">
        <v>3019</v>
      </c>
      <c r="J108" s="26">
        <f t="shared" si="10"/>
        <v>6.1000000000000014</v>
      </c>
      <c r="K108" s="21">
        <f t="shared" si="11"/>
        <v>28.176327000000004</v>
      </c>
      <c r="L108" s="38">
        <v>1.75</v>
      </c>
      <c r="M108" s="30">
        <v>5</v>
      </c>
      <c r="N108" s="16">
        <f t="shared" si="12"/>
        <v>4.6352654000000006</v>
      </c>
      <c r="O108" s="13">
        <f t="shared" si="13"/>
        <v>34.561592400000002</v>
      </c>
    </row>
    <row r="109" spans="1:15" x14ac:dyDescent="0.3">
      <c r="A109" s="19"/>
      <c r="B109" s="20">
        <v>0.4375</v>
      </c>
      <c r="C109" s="21">
        <v>39.799999999999997</v>
      </c>
      <c r="D109" s="33">
        <v>33.4</v>
      </c>
      <c r="E109" s="7">
        <v>26</v>
      </c>
      <c r="F109" s="11">
        <f t="shared" si="7"/>
        <v>6.3999999999999986</v>
      </c>
      <c r="G109" s="23">
        <f t="shared" si="8"/>
        <v>7.3999999999999986</v>
      </c>
      <c r="H109" s="24">
        <f t="shared" si="9"/>
        <v>46.376811594202898</v>
      </c>
      <c r="I109" s="25">
        <v>2936</v>
      </c>
      <c r="J109" s="26">
        <f t="shared" si="10"/>
        <v>6.3999999999999986</v>
      </c>
      <c r="K109" s="21">
        <f t="shared" si="11"/>
        <v>28.749311999999993</v>
      </c>
      <c r="L109" s="38">
        <v>1.75</v>
      </c>
      <c r="M109" s="30">
        <v>5</v>
      </c>
      <c r="N109" s="16">
        <f t="shared" si="12"/>
        <v>4.7498623999999987</v>
      </c>
      <c r="O109" s="13">
        <f t="shared" si="13"/>
        <v>35.249174399999994</v>
      </c>
    </row>
    <row r="110" spans="1:15" x14ac:dyDescent="0.3">
      <c r="A110" s="19"/>
      <c r="B110" s="20">
        <v>0.52083333333333337</v>
      </c>
      <c r="C110" s="21">
        <v>40.1</v>
      </c>
      <c r="D110" s="33">
        <v>33.700000000000003</v>
      </c>
      <c r="E110" s="7">
        <v>26</v>
      </c>
      <c r="F110" s="11">
        <f t="shared" si="7"/>
        <v>6.3999999999999986</v>
      </c>
      <c r="G110" s="23">
        <f t="shared" si="8"/>
        <v>7.7000000000000028</v>
      </c>
      <c r="H110" s="24">
        <f t="shared" si="9"/>
        <v>45.390070921985803</v>
      </c>
      <c r="I110" s="25">
        <v>2938</v>
      </c>
      <c r="J110" s="26">
        <f t="shared" si="10"/>
        <v>6.3999999999999986</v>
      </c>
      <c r="K110" s="21">
        <f t="shared" si="11"/>
        <v>28.768895999999987</v>
      </c>
      <c r="L110" s="38">
        <v>1.75</v>
      </c>
      <c r="M110" s="30">
        <v>5</v>
      </c>
      <c r="N110" s="16">
        <f t="shared" si="12"/>
        <v>4.7537791999999977</v>
      </c>
      <c r="O110" s="13">
        <f t="shared" si="13"/>
        <v>35.272675199999988</v>
      </c>
    </row>
    <row r="111" spans="1:15" x14ac:dyDescent="0.3">
      <c r="A111" s="19"/>
      <c r="B111" s="20">
        <v>0.60416666666666663</v>
      </c>
      <c r="C111" s="21">
        <v>40.4</v>
      </c>
      <c r="D111" s="33">
        <v>33</v>
      </c>
      <c r="E111" s="7">
        <v>26</v>
      </c>
      <c r="F111" s="11">
        <f t="shared" si="7"/>
        <v>7.3999999999999986</v>
      </c>
      <c r="G111" s="23">
        <f t="shared" si="8"/>
        <v>7</v>
      </c>
      <c r="H111" s="24">
        <f t="shared" si="9"/>
        <v>51.388888888888886</v>
      </c>
      <c r="I111" s="25">
        <v>3009</v>
      </c>
      <c r="J111" s="26">
        <f t="shared" si="10"/>
        <v>7.3999999999999986</v>
      </c>
      <c r="K111" s="21">
        <f t="shared" si="11"/>
        <v>34.067897999999992</v>
      </c>
      <c r="L111" s="38">
        <v>1.75</v>
      </c>
      <c r="M111" s="30">
        <v>5</v>
      </c>
      <c r="N111" s="16">
        <f t="shared" si="12"/>
        <v>5.8135795999999988</v>
      </c>
      <c r="O111" s="13">
        <f t="shared" si="13"/>
        <v>41.63147759999999</v>
      </c>
    </row>
    <row r="112" spans="1:15" x14ac:dyDescent="0.3">
      <c r="A112" s="19"/>
      <c r="B112" s="20">
        <v>0.6875</v>
      </c>
      <c r="C112" s="21">
        <v>40.1</v>
      </c>
      <c r="D112" s="33">
        <v>33</v>
      </c>
      <c r="E112" s="7">
        <v>26</v>
      </c>
      <c r="F112" s="11">
        <f t="shared" si="7"/>
        <v>7.1000000000000014</v>
      </c>
      <c r="G112" s="23">
        <f t="shared" si="8"/>
        <v>7</v>
      </c>
      <c r="H112" s="24">
        <f t="shared" si="9"/>
        <v>50.354609929078023</v>
      </c>
      <c r="I112" s="25">
        <v>3031</v>
      </c>
      <c r="J112" s="26">
        <f t="shared" si="10"/>
        <v>7.1000000000000014</v>
      </c>
      <c r="K112" s="21">
        <f t="shared" si="11"/>
        <v>32.925753</v>
      </c>
      <c r="L112" s="38">
        <v>1.75</v>
      </c>
      <c r="M112" s="30">
        <v>5</v>
      </c>
      <c r="N112" s="16">
        <f t="shared" si="12"/>
        <v>5.5851506000000004</v>
      </c>
      <c r="O112" s="13">
        <f t="shared" si="13"/>
        <v>40.260903599999999</v>
      </c>
    </row>
    <row r="113" spans="1:15" x14ac:dyDescent="0.3">
      <c r="A113" s="19"/>
      <c r="B113" s="20">
        <v>0.77083333333333337</v>
      </c>
      <c r="C113" s="21">
        <v>40.1</v>
      </c>
      <c r="D113" s="33">
        <v>33</v>
      </c>
      <c r="E113" s="7">
        <v>26</v>
      </c>
      <c r="F113" s="11">
        <f t="shared" si="7"/>
        <v>7.1000000000000014</v>
      </c>
      <c r="G113" s="23">
        <f t="shared" si="8"/>
        <v>7</v>
      </c>
      <c r="H113" s="24">
        <f t="shared" si="9"/>
        <v>50.354609929078023</v>
      </c>
      <c r="I113" s="25">
        <v>3081</v>
      </c>
      <c r="J113" s="26">
        <f t="shared" si="10"/>
        <v>7.1000000000000014</v>
      </c>
      <c r="K113" s="21">
        <f t="shared" si="11"/>
        <v>33.468903000000005</v>
      </c>
      <c r="L113" s="38">
        <v>1.75</v>
      </c>
      <c r="M113" s="30">
        <v>5</v>
      </c>
      <c r="N113" s="16">
        <f t="shared" si="12"/>
        <v>5.6937806000000011</v>
      </c>
      <c r="O113" s="13">
        <f t="shared" si="13"/>
        <v>40.912683600000008</v>
      </c>
    </row>
    <row r="114" spans="1:15" x14ac:dyDescent="0.3">
      <c r="A114" s="19"/>
      <c r="B114" s="20">
        <v>0.85416666666666663</v>
      </c>
      <c r="C114" s="21">
        <v>40.299999999999997</v>
      </c>
      <c r="D114" s="33">
        <v>33.6</v>
      </c>
      <c r="E114" s="7">
        <v>26</v>
      </c>
      <c r="F114" s="11">
        <f t="shared" si="7"/>
        <v>6.6999999999999957</v>
      </c>
      <c r="G114" s="23">
        <f t="shared" si="8"/>
        <v>7.6000000000000014</v>
      </c>
      <c r="H114" s="24">
        <f t="shared" si="9"/>
        <v>46.853146853146832</v>
      </c>
      <c r="I114" s="25">
        <v>3048</v>
      </c>
      <c r="J114" s="26">
        <f t="shared" si="10"/>
        <v>6.6999999999999957</v>
      </c>
      <c r="K114" s="21">
        <f t="shared" si="11"/>
        <v>31.245047999999976</v>
      </c>
      <c r="L114" s="38">
        <v>1.75</v>
      </c>
      <c r="M114" s="30">
        <v>5</v>
      </c>
      <c r="N114" s="16">
        <f t="shared" si="12"/>
        <v>5.2490095999999955</v>
      </c>
      <c r="O114" s="13">
        <f t="shared" si="13"/>
        <v>38.244057599999969</v>
      </c>
    </row>
    <row r="115" spans="1:15" x14ac:dyDescent="0.3">
      <c r="A115" s="19"/>
      <c r="B115" s="20">
        <v>0.9375</v>
      </c>
      <c r="C115" s="21">
        <v>40.200000000000003</v>
      </c>
      <c r="D115" s="33">
        <v>33.6</v>
      </c>
      <c r="E115" s="7">
        <v>26</v>
      </c>
      <c r="F115" s="11">
        <f t="shared" si="7"/>
        <v>6.6000000000000014</v>
      </c>
      <c r="G115" s="23">
        <f t="shared" si="8"/>
        <v>7.6000000000000014</v>
      </c>
      <c r="H115" s="24">
        <f t="shared" si="9"/>
        <v>46.478873239436616</v>
      </c>
      <c r="I115" s="25">
        <v>2942</v>
      </c>
      <c r="J115" s="26">
        <f t="shared" si="10"/>
        <v>6.6000000000000014</v>
      </c>
      <c r="K115" s="21">
        <f t="shared" si="11"/>
        <v>29.708316000000003</v>
      </c>
      <c r="L115" s="38">
        <v>1.75</v>
      </c>
      <c r="M115" s="30">
        <v>5</v>
      </c>
      <c r="N115" s="16">
        <f t="shared" si="12"/>
        <v>4.9416632000000007</v>
      </c>
      <c r="O115" s="13">
        <f t="shared" si="13"/>
        <v>36.399979200000004</v>
      </c>
    </row>
    <row r="116" spans="1:15" x14ac:dyDescent="0.3">
      <c r="A116" s="19"/>
      <c r="B116" s="20">
        <v>2.0833333333333332E-2</v>
      </c>
      <c r="C116" s="21">
        <v>39.799999999999997</v>
      </c>
      <c r="D116" s="33">
        <v>33.200000000000003</v>
      </c>
      <c r="E116" s="7">
        <v>26</v>
      </c>
      <c r="F116" s="11">
        <f t="shared" si="7"/>
        <v>6.5999999999999943</v>
      </c>
      <c r="G116" s="23">
        <f t="shared" si="8"/>
        <v>7.2000000000000028</v>
      </c>
      <c r="H116" s="24">
        <f t="shared" si="9"/>
        <v>47.826086956521706</v>
      </c>
      <c r="I116" s="25">
        <v>3051</v>
      </c>
      <c r="J116" s="26">
        <f t="shared" si="10"/>
        <v>6.5999999999999943</v>
      </c>
      <c r="K116" s="21">
        <f t="shared" si="11"/>
        <v>30.808997999999974</v>
      </c>
      <c r="L116" s="38">
        <v>1.75</v>
      </c>
      <c r="M116" s="30">
        <v>5</v>
      </c>
      <c r="N116" s="16">
        <f t="shared" si="12"/>
        <v>5.1617995999999948</v>
      </c>
      <c r="O116" s="13">
        <f t="shared" si="13"/>
        <v>37.720797599999969</v>
      </c>
    </row>
    <row r="117" spans="1:15" x14ac:dyDescent="0.3">
      <c r="A117" s="19"/>
      <c r="B117" s="20">
        <v>0.10416666666666667</v>
      </c>
      <c r="C117" s="21">
        <v>40</v>
      </c>
      <c r="D117" s="33">
        <v>33.299999999999997</v>
      </c>
      <c r="E117" s="7">
        <v>26</v>
      </c>
      <c r="F117" s="11">
        <f t="shared" si="7"/>
        <v>6.7000000000000028</v>
      </c>
      <c r="G117" s="23">
        <f t="shared" si="8"/>
        <v>7.2999999999999972</v>
      </c>
      <c r="H117" s="24">
        <f t="shared" si="9"/>
        <v>47.857142857142875</v>
      </c>
      <c r="I117" s="25">
        <v>3090</v>
      </c>
      <c r="J117" s="26">
        <f t="shared" si="10"/>
        <v>6.7000000000000028</v>
      </c>
      <c r="K117" s="21">
        <f t="shared" si="11"/>
        <v>31.67559000000001</v>
      </c>
      <c r="L117" s="38">
        <v>1.75</v>
      </c>
      <c r="M117" s="30">
        <v>5</v>
      </c>
      <c r="N117" s="16">
        <f t="shared" si="12"/>
        <v>5.3351180000000022</v>
      </c>
      <c r="O117" s="13">
        <f t="shared" si="13"/>
        <v>38.760708000000015</v>
      </c>
    </row>
    <row r="118" spans="1:15" x14ac:dyDescent="0.3">
      <c r="A118" s="19"/>
      <c r="B118" s="20">
        <v>0.1875</v>
      </c>
      <c r="C118" s="21">
        <v>39.700000000000003</v>
      </c>
      <c r="D118" s="33">
        <v>33.200000000000003</v>
      </c>
      <c r="E118" s="7">
        <v>26</v>
      </c>
      <c r="F118" s="11">
        <f t="shared" si="7"/>
        <v>6.5</v>
      </c>
      <c r="G118" s="23">
        <f t="shared" si="8"/>
        <v>7.2000000000000028</v>
      </c>
      <c r="H118" s="24">
        <f t="shared" si="9"/>
        <v>47.445255474452544</v>
      </c>
      <c r="I118" s="25">
        <v>2980</v>
      </c>
      <c r="J118" s="26">
        <f t="shared" si="10"/>
        <v>6.5</v>
      </c>
      <c r="K118" s="21">
        <f t="shared" si="11"/>
        <v>29.636099999999999</v>
      </c>
      <c r="L118" s="38">
        <v>1.75</v>
      </c>
      <c r="M118" s="30">
        <v>5</v>
      </c>
      <c r="N118" s="16">
        <f t="shared" si="12"/>
        <v>4.9272200000000002</v>
      </c>
      <c r="O118" s="13">
        <f t="shared" si="13"/>
        <v>36.313319999999997</v>
      </c>
    </row>
    <row r="119" spans="1:15" s="3" customFormat="1" x14ac:dyDescent="0.3">
      <c r="A119" s="34"/>
      <c r="B119" s="34"/>
      <c r="C119" s="34"/>
      <c r="D119" s="34"/>
      <c r="E119" s="34"/>
      <c r="F119" s="34"/>
      <c r="G119" s="34" t="s">
        <v>8</v>
      </c>
      <c r="H119" s="34">
        <f>AVERAGE(H107:H118)</f>
        <v>47.919877524022127</v>
      </c>
      <c r="I119" s="34"/>
      <c r="J119" s="34"/>
      <c r="K119" s="34">
        <f>AVERAGE(K107:K118)</f>
        <v>30.717389249999993</v>
      </c>
      <c r="L119" s="34"/>
      <c r="M119" s="34"/>
      <c r="N119" s="34">
        <f>AVERAGE(N107:N118)</f>
        <v>5.1434778499999991</v>
      </c>
      <c r="O119" s="34">
        <f>AVERAGE(O107:O118)</f>
        <v>37.610867099999993</v>
      </c>
    </row>
    <row r="120" spans="1:15" x14ac:dyDescent="0.3">
      <c r="A120" s="40">
        <v>44602</v>
      </c>
      <c r="B120" s="20">
        <v>0.27083333333333331</v>
      </c>
      <c r="C120" s="21">
        <v>39.799999999999997</v>
      </c>
      <c r="D120" s="33">
        <v>33.200000000000003</v>
      </c>
      <c r="E120" s="7">
        <v>26</v>
      </c>
      <c r="F120" s="11">
        <f t="shared" si="7"/>
        <v>6.5999999999999943</v>
      </c>
      <c r="G120" s="23">
        <f t="shared" si="8"/>
        <v>7.2000000000000028</v>
      </c>
      <c r="H120" s="24">
        <f t="shared" si="9"/>
        <v>47.826086956521706</v>
      </c>
      <c r="I120" s="25">
        <v>3030</v>
      </c>
      <c r="J120" s="26">
        <f t="shared" si="10"/>
        <v>6.5999999999999943</v>
      </c>
      <c r="K120" s="21">
        <f t="shared" si="11"/>
        <v>30.596939999999972</v>
      </c>
      <c r="L120" s="38">
        <v>1.75</v>
      </c>
      <c r="M120" s="30">
        <v>5</v>
      </c>
      <c r="N120" s="16">
        <f t="shared" si="12"/>
        <v>5.1193879999999945</v>
      </c>
      <c r="O120" s="13">
        <f t="shared" si="13"/>
        <v>37.466327999999969</v>
      </c>
    </row>
    <row r="121" spans="1:15" x14ac:dyDescent="0.3">
      <c r="A121" s="41"/>
      <c r="B121" s="20">
        <v>0.35416666666666669</v>
      </c>
      <c r="C121" s="21">
        <v>39.6</v>
      </c>
      <c r="D121" s="33">
        <v>33.200000000000003</v>
      </c>
      <c r="E121" s="7">
        <v>26</v>
      </c>
      <c r="F121" s="11">
        <f t="shared" si="7"/>
        <v>6.3999999999999986</v>
      </c>
      <c r="G121" s="23">
        <f t="shared" si="8"/>
        <v>7.2000000000000028</v>
      </c>
      <c r="H121" s="24">
        <f t="shared" si="9"/>
        <v>47.058823529411747</v>
      </c>
      <c r="I121" s="25">
        <v>3009</v>
      </c>
      <c r="J121" s="26">
        <f t="shared" si="10"/>
        <v>6.3999999999999986</v>
      </c>
      <c r="K121" s="21">
        <f t="shared" si="11"/>
        <v>29.464127999999992</v>
      </c>
      <c r="L121" s="38">
        <v>1.75</v>
      </c>
      <c r="M121" s="30">
        <v>5</v>
      </c>
      <c r="N121" s="16">
        <f t="shared" si="12"/>
        <v>4.8928255999999983</v>
      </c>
      <c r="O121" s="13">
        <f t="shared" si="13"/>
        <v>36.10695359999999</v>
      </c>
    </row>
    <row r="122" spans="1:15" x14ac:dyDescent="0.3">
      <c r="A122" s="41"/>
      <c r="B122" s="20">
        <v>0.4375</v>
      </c>
      <c r="C122" s="21">
        <v>40.200000000000003</v>
      </c>
      <c r="D122" s="33">
        <v>33.6</v>
      </c>
      <c r="E122" s="7">
        <v>26</v>
      </c>
      <c r="F122" s="11">
        <f t="shared" si="7"/>
        <v>6.6000000000000014</v>
      </c>
      <c r="G122" s="23">
        <f t="shared" si="8"/>
        <v>7.6000000000000014</v>
      </c>
      <c r="H122" s="24">
        <f t="shared" si="9"/>
        <v>46.478873239436616</v>
      </c>
      <c r="I122" s="25">
        <v>3001</v>
      </c>
      <c r="J122" s="26">
        <f t="shared" si="10"/>
        <v>6.6000000000000014</v>
      </c>
      <c r="K122" s="21">
        <f t="shared" si="11"/>
        <v>30.304098000000003</v>
      </c>
      <c r="L122" s="38">
        <v>1.75</v>
      </c>
      <c r="M122" s="30">
        <v>5</v>
      </c>
      <c r="N122" s="16">
        <f t="shared" si="12"/>
        <v>5.0608196000000003</v>
      </c>
      <c r="O122" s="13">
        <f t="shared" si="13"/>
        <v>37.114917600000005</v>
      </c>
    </row>
    <row r="123" spans="1:15" x14ac:dyDescent="0.3">
      <c r="A123" s="41"/>
      <c r="B123" s="20">
        <v>0.52083333333333337</v>
      </c>
      <c r="C123" s="21">
        <v>40.5</v>
      </c>
      <c r="D123" s="33">
        <v>34</v>
      </c>
      <c r="E123" s="7">
        <v>26</v>
      </c>
      <c r="F123" s="11">
        <f t="shared" si="7"/>
        <v>6.5</v>
      </c>
      <c r="G123" s="23">
        <f t="shared" si="8"/>
        <v>8</v>
      </c>
      <c r="H123" s="24">
        <f t="shared" si="9"/>
        <v>44.827586206896555</v>
      </c>
      <c r="I123" s="25">
        <v>3038</v>
      </c>
      <c r="J123" s="26">
        <f t="shared" si="10"/>
        <v>6.5</v>
      </c>
      <c r="K123" s="21">
        <f t="shared" si="11"/>
        <v>30.212909999999997</v>
      </c>
      <c r="L123" s="38">
        <v>1.75</v>
      </c>
      <c r="M123" s="30">
        <v>5</v>
      </c>
      <c r="N123" s="16">
        <f t="shared" si="12"/>
        <v>5.0425819999999995</v>
      </c>
      <c r="O123" s="13">
        <f t="shared" si="13"/>
        <v>37.005491999999997</v>
      </c>
    </row>
    <row r="124" spans="1:15" x14ac:dyDescent="0.3">
      <c r="A124" s="41"/>
      <c r="B124" s="20">
        <v>0.60416666666666663</v>
      </c>
      <c r="C124" s="21">
        <v>40.700000000000003</v>
      </c>
      <c r="D124" s="33">
        <v>34.299999999999997</v>
      </c>
      <c r="E124" s="7">
        <v>26</v>
      </c>
      <c r="F124" s="11">
        <f t="shared" si="7"/>
        <v>6.4000000000000057</v>
      </c>
      <c r="G124" s="23">
        <f t="shared" si="8"/>
        <v>8.2999999999999972</v>
      </c>
      <c r="H124" s="24">
        <f t="shared" si="9"/>
        <v>43.537414965986429</v>
      </c>
      <c r="I124" s="25">
        <v>3078</v>
      </c>
      <c r="J124" s="26">
        <f t="shared" si="10"/>
        <v>6.4000000000000057</v>
      </c>
      <c r="K124" s="21">
        <f t="shared" si="11"/>
        <v>30.139776000000026</v>
      </c>
      <c r="L124" s="38">
        <v>1.75</v>
      </c>
      <c r="M124" s="30">
        <v>5</v>
      </c>
      <c r="N124" s="16">
        <f t="shared" si="12"/>
        <v>5.0279552000000054</v>
      </c>
      <c r="O124" s="13">
        <f t="shared" si="13"/>
        <v>36.917731200000034</v>
      </c>
    </row>
    <row r="125" spans="1:15" x14ac:dyDescent="0.3">
      <c r="A125" s="41"/>
      <c r="B125" s="20">
        <v>0.6875</v>
      </c>
      <c r="C125" s="21">
        <v>40.6</v>
      </c>
      <c r="D125" s="33">
        <v>34.200000000000003</v>
      </c>
      <c r="E125" s="7">
        <v>26</v>
      </c>
      <c r="F125" s="11">
        <f t="shared" si="7"/>
        <v>6.3999999999999986</v>
      </c>
      <c r="G125" s="23">
        <f t="shared" si="8"/>
        <v>8.2000000000000028</v>
      </c>
      <c r="H125" s="24">
        <f t="shared" si="9"/>
        <v>43.835616438356148</v>
      </c>
      <c r="I125" s="25">
        <v>2941</v>
      </c>
      <c r="J125" s="26">
        <f t="shared" si="10"/>
        <v>6.3999999999999986</v>
      </c>
      <c r="K125" s="21">
        <f t="shared" si="11"/>
        <v>28.79827199999999</v>
      </c>
      <c r="L125" s="38">
        <v>1.75</v>
      </c>
      <c r="M125" s="30">
        <v>5</v>
      </c>
      <c r="N125" s="16">
        <f t="shared" si="12"/>
        <v>4.7596543999999978</v>
      </c>
      <c r="O125" s="13">
        <f t="shared" si="13"/>
        <v>35.307926399999985</v>
      </c>
    </row>
    <row r="126" spans="1:15" x14ac:dyDescent="0.3">
      <c r="A126" s="41"/>
      <c r="B126" s="20">
        <v>0.77083333333333337</v>
      </c>
      <c r="C126" s="21">
        <v>40.200000000000003</v>
      </c>
      <c r="D126" s="33">
        <v>33.799999999999997</v>
      </c>
      <c r="E126" s="7">
        <v>26</v>
      </c>
      <c r="F126" s="11">
        <f t="shared" si="7"/>
        <v>6.4000000000000057</v>
      </c>
      <c r="G126" s="23">
        <f t="shared" si="8"/>
        <v>7.7999999999999972</v>
      </c>
      <c r="H126" s="24">
        <f t="shared" si="9"/>
        <v>45.070422535211293</v>
      </c>
      <c r="I126" s="25">
        <v>2999</v>
      </c>
      <c r="J126" s="26">
        <f t="shared" si="10"/>
        <v>6.4000000000000057</v>
      </c>
      <c r="K126" s="21">
        <f t="shared" si="11"/>
        <v>29.366208000000025</v>
      </c>
      <c r="L126" s="38">
        <v>1.75</v>
      </c>
      <c r="M126" s="30">
        <v>5</v>
      </c>
      <c r="N126" s="16">
        <f t="shared" si="12"/>
        <v>4.8732416000000054</v>
      </c>
      <c r="O126" s="13">
        <f t="shared" si="13"/>
        <v>35.989449600000029</v>
      </c>
    </row>
    <row r="127" spans="1:15" x14ac:dyDescent="0.3">
      <c r="A127" s="41"/>
      <c r="B127" s="20">
        <v>0.85416666666666663</v>
      </c>
      <c r="C127" s="21">
        <v>40.200000000000003</v>
      </c>
      <c r="D127" s="33">
        <v>33.9</v>
      </c>
      <c r="E127" s="7">
        <v>26</v>
      </c>
      <c r="F127" s="11">
        <f t="shared" si="7"/>
        <v>6.3000000000000043</v>
      </c>
      <c r="G127" s="23">
        <f t="shared" si="8"/>
        <v>7.8999999999999986</v>
      </c>
      <c r="H127" s="24">
        <f t="shared" si="9"/>
        <v>44.366197183098613</v>
      </c>
      <c r="I127" s="25">
        <v>2996</v>
      </c>
      <c r="J127" s="26">
        <f t="shared" si="10"/>
        <v>6.3000000000000043</v>
      </c>
      <c r="K127" s="21">
        <f t="shared" si="11"/>
        <v>28.87844400000002</v>
      </c>
      <c r="L127" s="38">
        <v>1.75</v>
      </c>
      <c r="M127" s="30">
        <v>5</v>
      </c>
      <c r="N127" s="16">
        <f t="shared" si="12"/>
        <v>4.7756888000000037</v>
      </c>
      <c r="O127" s="13">
        <f t="shared" si="13"/>
        <v>35.404132800000021</v>
      </c>
    </row>
    <row r="128" spans="1:15" x14ac:dyDescent="0.3">
      <c r="A128" s="41"/>
      <c r="B128" s="20">
        <v>0.9375</v>
      </c>
      <c r="C128" s="21">
        <v>40</v>
      </c>
      <c r="D128" s="33">
        <v>33.6</v>
      </c>
      <c r="E128" s="7">
        <v>26</v>
      </c>
      <c r="F128" s="11">
        <f t="shared" si="7"/>
        <v>6.3999999999999986</v>
      </c>
      <c r="G128" s="23">
        <f t="shared" si="8"/>
        <v>7.6000000000000014</v>
      </c>
      <c r="H128" s="24">
        <f t="shared" si="9"/>
        <v>45.714285714285701</v>
      </c>
      <c r="I128" s="25">
        <v>2897</v>
      </c>
      <c r="J128" s="26">
        <f t="shared" si="10"/>
        <v>6.3999999999999986</v>
      </c>
      <c r="K128" s="21">
        <f t="shared" si="11"/>
        <v>28.367423999999993</v>
      </c>
      <c r="L128" s="38">
        <v>1.75</v>
      </c>
      <c r="M128" s="30">
        <v>5</v>
      </c>
      <c r="N128" s="16">
        <f t="shared" si="12"/>
        <v>4.6734847999999989</v>
      </c>
      <c r="O128" s="13">
        <f t="shared" si="13"/>
        <v>34.79090879999999</v>
      </c>
    </row>
    <row r="129" spans="1:15" x14ac:dyDescent="0.3">
      <c r="A129" s="41"/>
      <c r="B129" s="20">
        <v>2.0833333333333332E-2</v>
      </c>
      <c r="C129" s="21">
        <v>39.6</v>
      </c>
      <c r="D129" s="33">
        <v>33.299999999999997</v>
      </c>
      <c r="E129" s="7">
        <v>26</v>
      </c>
      <c r="F129" s="11">
        <f t="shared" si="7"/>
        <v>6.3000000000000043</v>
      </c>
      <c r="G129" s="23">
        <f t="shared" si="8"/>
        <v>7.2999999999999972</v>
      </c>
      <c r="H129" s="24">
        <f t="shared" si="9"/>
        <v>46.323529411764731</v>
      </c>
      <c r="I129" s="25">
        <v>3028</v>
      </c>
      <c r="J129" s="26">
        <f t="shared" si="10"/>
        <v>6.3000000000000043</v>
      </c>
      <c r="K129" s="21">
        <f t="shared" si="11"/>
        <v>29.186892000000018</v>
      </c>
      <c r="L129" s="38">
        <v>1.75</v>
      </c>
      <c r="M129" s="30">
        <v>5</v>
      </c>
      <c r="N129" s="16">
        <f t="shared" si="12"/>
        <v>4.837378400000004</v>
      </c>
      <c r="O129" s="13">
        <f t="shared" si="13"/>
        <v>35.77427040000002</v>
      </c>
    </row>
    <row r="130" spans="1:15" x14ac:dyDescent="0.3">
      <c r="A130" s="41"/>
      <c r="B130" s="20">
        <v>0.10416666666666667</v>
      </c>
      <c r="C130" s="21"/>
      <c r="D130" s="33"/>
      <c r="E130" s="7">
        <v>26</v>
      </c>
      <c r="F130" s="11">
        <f t="shared" si="7"/>
        <v>0</v>
      </c>
      <c r="G130" s="23">
        <f t="shared" si="8"/>
        <v>-26</v>
      </c>
      <c r="H130" s="24">
        <f t="shared" si="9"/>
        <v>0</v>
      </c>
      <c r="I130" s="25"/>
      <c r="J130" s="26">
        <f t="shared" si="10"/>
        <v>0</v>
      </c>
      <c r="K130" s="21">
        <f t="shared" si="11"/>
        <v>0</v>
      </c>
      <c r="L130" s="38">
        <v>1.75</v>
      </c>
      <c r="M130" s="30">
        <v>5</v>
      </c>
      <c r="N130" s="16">
        <f t="shared" si="12"/>
        <v>-1</v>
      </c>
      <c r="O130" s="13">
        <f t="shared" si="13"/>
        <v>0.75</v>
      </c>
    </row>
    <row r="131" spans="1:15" x14ac:dyDescent="0.3">
      <c r="A131" s="41"/>
      <c r="B131" s="20">
        <v>0.1875</v>
      </c>
      <c r="C131" s="21">
        <v>39.1</v>
      </c>
      <c r="D131" s="33">
        <v>32.799999999999997</v>
      </c>
      <c r="E131" s="7">
        <v>26</v>
      </c>
      <c r="F131" s="11">
        <f t="shared" ref="F131:F194" si="14">C131-D131</f>
        <v>6.3000000000000043</v>
      </c>
      <c r="G131" s="23">
        <f t="shared" ref="G131:G194" si="15">D131-E131</f>
        <v>6.7999999999999972</v>
      </c>
      <c r="H131" s="24">
        <f t="shared" si="9"/>
        <v>48.091603053435136</v>
      </c>
      <c r="I131" s="25">
        <v>2959</v>
      </c>
      <c r="J131" s="26">
        <f t="shared" si="10"/>
        <v>6.3000000000000043</v>
      </c>
      <c r="K131" s="21">
        <f t="shared" si="11"/>
        <v>28.521801000000018</v>
      </c>
      <c r="L131" s="38">
        <v>1.75</v>
      </c>
      <c r="M131" s="30">
        <v>5</v>
      </c>
      <c r="N131" s="16">
        <f t="shared" si="12"/>
        <v>4.7043602000000035</v>
      </c>
      <c r="O131" s="13">
        <f t="shared" si="13"/>
        <v>34.976161200000021</v>
      </c>
    </row>
    <row r="132" spans="1:15" s="3" customFormat="1" x14ac:dyDescent="0.3">
      <c r="A132" s="34"/>
      <c r="B132" s="34"/>
      <c r="C132" s="34"/>
      <c r="D132" s="34"/>
      <c r="E132" s="34"/>
      <c r="F132" s="34"/>
      <c r="G132" s="34" t="s">
        <v>8</v>
      </c>
      <c r="H132" s="34">
        <f>AVERAGE(H120:H131)</f>
        <v>41.927536602867065</v>
      </c>
      <c r="I132" s="34"/>
      <c r="J132" s="34"/>
      <c r="K132" s="34">
        <f>AVERAGE(K120:K131)</f>
        <v>26.986407750000009</v>
      </c>
      <c r="L132" s="34"/>
      <c r="M132" s="34"/>
      <c r="N132" s="34">
        <f>AVERAGE(N120:N131)</f>
        <v>4.3972815500000015</v>
      </c>
      <c r="O132" s="34">
        <f>AVERAGE(O120:O131)</f>
        <v>33.133689300000007</v>
      </c>
    </row>
    <row r="133" spans="1:15" x14ac:dyDescent="0.3">
      <c r="A133" s="19">
        <v>44603</v>
      </c>
      <c r="B133" s="20">
        <v>0.27083333333333331</v>
      </c>
      <c r="C133" s="21">
        <v>38.9</v>
      </c>
      <c r="D133" s="33">
        <v>32.700000000000003</v>
      </c>
      <c r="E133" s="7">
        <v>26</v>
      </c>
      <c r="F133" s="11">
        <f t="shared" si="14"/>
        <v>6.1999999999999957</v>
      </c>
      <c r="G133" s="23">
        <f t="shared" si="15"/>
        <v>6.7000000000000028</v>
      </c>
      <c r="H133" s="24">
        <f t="shared" ref="H132:H195" si="16">(F133/(F133+G133))*100</f>
        <v>48.062015503875941</v>
      </c>
      <c r="I133" s="25">
        <v>2937</v>
      </c>
      <c r="J133" s="26">
        <f t="shared" ref="J132:J195" si="17">C133-D133</f>
        <v>6.1999999999999957</v>
      </c>
      <c r="K133" s="21">
        <f t="shared" ref="K132:K195" si="18">0.00085*1.8*I133*J133</f>
        <v>27.860381999999976</v>
      </c>
      <c r="L133" s="38">
        <v>1.75</v>
      </c>
      <c r="M133" s="30">
        <v>5</v>
      </c>
      <c r="N133" s="16">
        <f t="shared" ref="N132:N195" si="19">K133/M133-1</f>
        <v>4.5720763999999949</v>
      </c>
      <c r="O133" s="13">
        <f t="shared" ref="O132:O195" si="20">K133+L133+N133</f>
        <v>34.182458399999973</v>
      </c>
    </row>
    <row r="134" spans="1:15" x14ac:dyDescent="0.3">
      <c r="A134" s="19"/>
      <c r="B134" s="20">
        <v>0.35416666666666669</v>
      </c>
      <c r="C134" s="21">
        <v>38.9</v>
      </c>
      <c r="D134" s="33">
        <v>32.6</v>
      </c>
      <c r="E134" s="7">
        <v>26</v>
      </c>
      <c r="F134" s="11">
        <f t="shared" si="14"/>
        <v>6.2999999999999972</v>
      </c>
      <c r="G134" s="23">
        <f t="shared" si="15"/>
        <v>6.6000000000000014</v>
      </c>
      <c r="H134" s="24">
        <f t="shared" si="16"/>
        <v>48.837209302325562</v>
      </c>
      <c r="I134" s="25">
        <v>3071</v>
      </c>
      <c r="J134" s="26">
        <f t="shared" si="17"/>
        <v>6.2999999999999972</v>
      </c>
      <c r="K134" s="21">
        <f t="shared" si="18"/>
        <v>29.601368999999984</v>
      </c>
      <c r="L134" s="38">
        <v>1.75</v>
      </c>
      <c r="M134" s="30">
        <v>5</v>
      </c>
      <c r="N134" s="16">
        <f t="shared" si="19"/>
        <v>4.9202737999999968</v>
      </c>
      <c r="O134" s="13">
        <f t="shared" si="20"/>
        <v>36.271642799999981</v>
      </c>
    </row>
    <row r="135" spans="1:15" x14ac:dyDescent="0.3">
      <c r="A135" s="19"/>
      <c r="B135" s="20">
        <v>0.4375</v>
      </c>
      <c r="C135" s="21">
        <v>39.9</v>
      </c>
      <c r="D135" s="33">
        <v>33.6</v>
      </c>
      <c r="E135" s="7">
        <v>26</v>
      </c>
      <c r="F135" s="11">
        <f t="shared" si="14"/>
        <v>6.2999999999999972</v>
      </c>
      <c r="G135" s="23">
        <f t="shared" si="15"/>
        <v>7.6000000000000014</v>
      </c>
      <c r="H135" s="24">
        <f t="shared" si="16"/>
        <v>45.323741007194229</v>
      </c>
      <c r="I135" s="25">
        <v>2994</v>
      </c>
      <c r="J135" s="26">
        <f t="shared" si="17"/>
        <v>6.2999999999999972</v>
      </c>
      <c r="K135" s="21">
        <f t="shared" si="18"/>
        <v>28.859165999999988</v>
      </c>
      <c r="L135" s="38">
        <v>1.75</v>
      </c>
      <c r="M135" s="30">
        <v>5</v>
      </c>
      <c r="N135" s="16">
        <f t="shared" si="19"/>
        <v>4.7718331999999979</v>
      </c>
      <c r="O135" s="13">
        <f t="shared" si="20"/>
        <v>35.380999199999984</v>
      </c>
    </row>
    <row r="136" spans="1:15" x14ac:dyDescent="0.3">
      <c r="A136" s="19"/>
      <c r="B136" s="20">
        <v>0.52083333333333337</v>
      </c>
      <c r="C136" s="21">
        <v>40.299999999999997</v>
      </c>
      <c r="D136" s="33">
        <v>30.1</v>
      </c>
      <c r="E136" s="7">
        <v>26</v>
      </c>
      <c r="F136" s="11">
        <f t="shared" si="14"/>
        <v>10.199999999999996</v>
      </c>
      <c r="G136" s="23">
        <f t="shared" si="15"/>
        <v>4.1000000000000014</v>
      </c>
      <c r="H136" s="24">
        <f t="shared" si="16"/>
        <v>71.328671328671305</v>
      </c>
      <c r="I136" s="25">
        <v>2957</v>
      </c>
      <c r="J136" s="26">
        <f t="shared" si="17"/>
        <v>10.199999999999996</v>
      </c>
      <c r="K136" s="21">
        <f t="shared" si="18"/>
        <v>46.146941999999981</v>
      </c>
      <c r="L136" s="38">
        <v>1.75</v>
      </c>
      <c r="M136" s="30">
        <v>5</v>
      </c>
      <c r="N136" s="16">
        <f t="shared" si="19"/>
        <v>8.2293883999999959</v>
      </c>
      <c r="O136" s="13">
        <f t="shared" si="20"/>
        <v>56.126330399999979</v>
      </c>
    </row>
    <row r="137" spans="1:15" x14ac:dyDescent="0.3">
      <c r="A137" s="19"/>
      <c r="B137" s="20">
        <v>0.60416666666666663</v>
      </c>
      <c r="C137" s="21">
        <v>39.1</v>
      </c>
      <c r="D137" s="33">
        <v>33.1</v>
      </c>
      <c r="E137" s="7">
        <v>26</v>
      </c>
      <c r="F137" s="11">
        <f t="shared" si="14"/>
        <v>6</v>
      </c>
      <c r="G137" s="23">
        <f t="shared" si="15"/>
        <v>7.1000000000000014</v>
      </c>
      <c r="H137" s="24">
        <f t="shared" si="16"/>
        <v>45.801526717557245</v>
      </c>
      <c r="I137" s="25">
        <v>3009</v>
      </c>
      <c r="J137" s="26">
        <f t="shared" si="17"/>
        <v>6</v>
      </c>
      <c r="K137" s="21">
        <f t="shared" si="18"/>
        <v>27.622619999999998</v>
      </c>
      <c r="L137" s="38">
        <v>1.75</v>
      </c>
      <c r="M137" s="30">
        <v>5</v>
      </c>
      <c r="N137" s="16">
        <f t="shared" si="19"/>
        <v>4.5245239999999995</v>
      </c>
      <c r="O137" s="13">
        <f t="shared" si="20"/>
        <v>33.897143999999997</v>
      </c>
    </row>
    <row r="138" spans="1:15" x14ac:dyDescent="0.3">
      <c r="A138" s="19"/>
      <c r="B138" s="20">
        <v>0.6875</v>
      </c>
      <c r="C138" s="21">
        <v>40.5</v>
      </c>
      <c r="D138" s="33">
        <v>33.700000000000003</v>
      </c>
      <c r="E138" s="7">
        <v>26</v>
      </c>
      <c r="F138" s="11">
        <f t="shared" si="14"/>
        <v>6.7999999999999972</v>
      </c>
      <c r="G138" s="23">
        <f t="shared" si="15"/>
        <v>7.7000000000000028</v>
      </c>
      <c r="H138" s="24">
        <f t="shared" si="16"/>
        <v>46.896551724137915</v>
      </c>
      <c r="I138" s="25">
        <v>3022</v>
      </c>
      <c r="J138" s="26">
        <f t="shared" si="17"/>
        <v>6.7999999999999972</v>
      </c>
      <c r="K138" s="21">
        <f t="shared" si="18"/>
        <v>31.440887999999987</v>
      </c>
      <c r="L138" s="38">
        <v>1.75</v>
      </c>
      <c r="M138" s="30">
        <v>5</v>
      </c>
      <c r="N138" s="16">
        <f t="shared" si="19"/>
        <v>5.2881775999999974</v>
      </c>
      <c r="O138" s="13">
        <f t="shared" si="20"/>
        <v>38.479065599999984</v>
      </c>
    </row>
    <row r="139" spans="1:15" x14ac:dyDescent="0.3">
      <c r="A139" s="19"/>
      <c r="B139" s="20">
        <v>0.77083333333333337</v>
      </c>
      <c r="C139" s="21">
        <v>40.799999999999997</v>
      </c>
      <c r="D139" s="33">
        <v>34</v>
      </c>
      <c r="E139" s="7">
        <v>26</v>
      </c>
      <c r="F139" s="11">
        <f t="shared" si="14"/>
        <v>6.7999999999999972</v>
      </c>
      <c r="G139" s="23">
        <f t="shared" si="15"/>
        <v>8</v>
      </c>
      <c r="H139" s="24">
        <f t="shared" si="16"/>
        <v>45.945945945945937</v>
      </c>
      <c r="I139" s="25">
        <v>3070</v>
      </c>
      <c r="J139" s="26">
        <f t="shared" si="17"/>
        <v>6.7999999999999972</v>
      </c>
      <c r="K139" s="21">
        <f t="shared" si="18"/>
        <v>31.940279999999987</v>
      </c>
      <c r="L139" s="38">
        <v>1.75</v>
      </c>
      <c r="M139" s="30">
        <v>5</v>
      </c>
      <c r="N139" s="16">
        <f t="shared" si="19"/>
        <v>5.3880559999999971</v>
      </c>
      <c r="O139" s="13">
        <f t="shared" si="20"/>
        <v>39.078335999999986</v>
      </c>
    </row>
    <row r="140" spans="1:15" x14ac:dyDescent="0.3">
      <c r="A140" s="19"/>
      <c r="B140" s="20">
        <v>0.85416666666666663</v>
      </c>
      <c r="C140" s="21">
        <v>40.799999999999997</v>
      </c>
      <c r="D140" s="33">
        <v>34</v>
      </c>
      <c r="E140" s="7">
        <v>26</v>
      </c>
      <c r="F140" s="11">
        <f t="shared" si="14"/>
        <v>6.7999999999999972</v>
      </c>
      <c r="G140" s="23">
        <f t="shared" si="15"/>
        <v>8</v>
      </c>
      <c r="H140" s="24">
        <f t="shared" si="16"/>
        <v>45.945945945945937</v>
      </c>
      <c r="I140" s="25">
        <v>2931</v>
      </c>
      <c r="J140" s="26">
        <f t="shared" si="17"/>
        <v>6.7999999999999972</v>
      </c>
      <c r="K140" s="21">
        <f t="shared" si="18"/>
        <v>30.494123999999985</v>
      </c>
      <c r="L140" s="38">
        <v>1.75</v>
      </c>
      <c r="M140" s="30">
        <v>5</v>
      </c>
      <c r="N140" s="16">
        <f t="shared" si="19"/>
        <v>5.0988247999999974</v>
      </c>
      <c r="O140" s="13">
        <f t="shared" si="20"/>
        <v>37.342948799999981</v>
      </c>
    </row>
    <row r="141" spans="1:15" x14ac:dyDescent="0.3">
      <c r="A141" s="19"/>
      <c r="B141" s="20">
        <v>0.9375</v>
      </c>
      <c r="C141" s="21">
        <v>40.1</v>
      </c>
      <c r="D141" s="33">
        <v>33</v>
      </c>
      <c r="E141" s="7">
        <v>26</v>
      </c>
      <c r="F141" s="11">
        <f t="shared" si="14"/>
        <v>7.1000000000000014</v>
      </c>
      <c r="G141" s="23">
        <f t="shared" si="15"/>
        <v>7</v>
      </c>
      <c r="H141" s="24">
        <f t="shared" si="16"/>
        <v>50.354609929078023</v>
      </c>
      <c r="I141" s="25">
        <v>2881</v>
      </c>
      <c r="J141" s="26">
        <f t="shared" si="17"/>
        <v>7.1000000000000014</v>
      </c>
      <c r="K141" s="21">
        <f t="shared" si="18"/>
        <v>31.296303000000002</v>
      </c>
      <c r="L141" s="38">
        <v>1.75</v>
      </c>
      <c r="M141" s="30">
        <v>5</v>
      </c>
      <c r="N141" s="16">
        <f t="shared" si="19"/>
        <v>5.2592606000000002</v>
      </c>
      <c r="O141" s="13">
        <f t="shared" si="20"/>
        <v>38.305563599999999</v>
      </c>
    </row>
    <row r="142" spans="1:15" x14ac:dyDescent="0.3">
      <c r="A142" s="19"/>
      <c r="B142" s="20">
        <v>2.0833333333333332E-2</v>
      </c>
      <c r="C142" s="21">
        <v>40.799999999999997</v>
      </c>
      <c r="D142" s="33">
        <v>33.5</v>
      </c>
      <c r="E142" s="7">
        <v>26</v>
      </c>
      <c r="F142" s="11">
        <f t="shared" si="14"/>
        <v>7.2999999999999972</v>
      </c>
      <c r="G142" s="23">
        <f t="shared" si="15"/>
        <v>7.5</v>
      </c>
      <c r="H142" s="24">
        <f t="shared" si="16"/>
        <v>49.324324324324316</v>
      </c>
      <c r="I142" s="25">
        <v>2954</v>
      </c>
      <c r="J142" s="26">
        <f t="shared" si="17"/>
        <v>7.2999999999999972</v>
      </c>
      <c r="K142" s="21">
        <f t="shared" si="18"/>
        <v>32.993225999999986</v>
      </c>
      <c r="L142" s="38">
        <v>1.75</v>
      </c>
      <c r="M142" s="30">
        <v>5</v>
      </c>
      <c r="N142" s="16">
        <f t="shared" si="19"/>
        <v>5.5986451999999973</v>
      </c>
      <c r="O142" s="13">
        <f t="shared" si="20"/>
        <v>40.341871199999986</v>
      </c>
    </row>
    <row r="143" spans="1:15" x14ac:dyDescent="0.3">
      <c r="A143" s="19"/>
      <c r="B143" s="20">
        <v>0.10416666666666667</v>
      </c>
      <c r="C143" s="21"/>
      <c r="D143" s="33"/>
      <c r="E143" s="7">
        <v>26</v>
      </c>
      <c r="F143" s="11">
        <f t="shared" si="14"/>
        <v>0</v>
      </c>
      <c r="G143" s="23">
        <f t="shared" si="15"/>
        <v>-26</v>
      </c>
      <c r="H143" s="24">
        <f t="shared" si="16"/>
        <v>0</v>
      </c>
      <c r="I143" s="25"/>
      <c r="J143" s="26">
        <f t="shared" si="17"/>
        <v>0</v>
      </c>
      <c r="K143" s="21">
        <f t="shared" si="18"/>
        <v>0</v>
      </c>
      <c r="L143" s="38">
        <v>1.75</v>
      </c>
      <c r="M143" s="30">
        <v>5</v>
      </c>
      <c r="N143" s="16">
        <f t="shared" si="19"/>
        <v>-1</v>
      </c>
      <c r="O143" s="13">
        <f t="shared" si="20"/>
        <v>0.75</v>
      </c>
    </row>
    <row r="144" spans="1:15" x14ac:dyDescent="0.3">
      <c r="A144" s="19"/>
      <c r="B144" s="20">
        <v>0.1875</v>
      </c>
      <c r="C144" s="21">
        <v>39.299999999999997</v>
      </c>
      <c r="D144" s="33">
        <v>32.5</v>
      </c>
      <c r="E144" s="7">
        <v>26</v>
      </c>
      <c r="F144" s="11">
        <f t="shared" si="14"/>
        <v>6.7999999999999972</v>
      </c>
      <c r="G144" s="23">
        <f t="shared" si="15"/>
        <v>6.5</v>
      </c>
      <c r="H144" s="24">
        <f t="shared" si="16"/>
        <v>51.127819548872168</v>
      </c>
      <c r="I144" s="25">
        <v>2973</v>
      </c>
      <c r="J144" s="26">
        <f t="shared" si="17"/>
        <v>6.7999999999999972</v>
      </c>
      <c r="K144" s="21">
        <f t="shared" si="18"/>
        <v>30.931091999999985</v>
      </c>
      <c r="L144" s="38">
        <v>1.75</v>
      </c>
      <c r="M144" s="30">
        <v>5</v>
      </c>
      <c r="N144" s="16">
        <f t="shared" si="19"/>
        <v>5.1862183999999969</v>
      </c>
      <c r="O144" s="13">
        <f t="shared" si="20"/>
        <v>37.86731039999998</v>
      </c>
    </row>
    <row r="145" spans="1:15" s="3" customFormat="1" x14ac:dyDescent="0.3">
      <c r="A145" s="34"/>
      <c r="B145" s="34"/>
      <c r="C145" s="34"/>
      <c r="D145" s="34"/>
      <c r="E145" s="34"/>
      <c r="F145" s="34"/>
      <c r="G145" s="34" t="s">
        <v>8</v>
      </c>
      <c r="H145" s="34">
        <f>AVERAGE(H133:H144)</f>
        <v>45.745696773160716</v>
      </c>
      <c r="I145" s="34"/>
      <c r="J145" s="34"/>
      <c r="K145" s="34">
        <f>AVERAGE(K133:K144)</f>
        <v>29.098865999999987</v>
      </c>
      <c r="L145" s="34"/>
      <c r="M145" s="34"/>
      <c r="N145" s="34">
        <f>AVERAGE(N133:N144)</f>
        <v>4.8197731999999975</v>
      </c>
      <c r="O145" s="34">
        <f>AVERAGE(O133:O144)</f>
        <v>35.66863919999998</v>
      </c>
    </row>
    <row r="146" spans="1:15" x14ac:dyDescent="0.3">
      <c r="A146" s="40">
        <v>44604</v>
      </c>
      <c r="B146" s="20">
        <v>0.27083333333333331</v>
      </c>
      <c r="C146" s="21">
        <v>38.9</v>
      </c>
      <c r="D146" s="33">
        <v>32.1</v>
      </c>
      <c r="E146" s="7">
        <v>26</v>
      </c>
      <c r="F146" s="11">
        <f t="shared" si="14"/>
        <v>6.7999999999999972</v>
      </c>
      <c r="G146" s="23">
        <f t="shared" si="15"/>
        <v>6.1000000000000014</v>
      </c>
      <c r="H146" s="24">
        <f t="shared" si="16"/>
        <v>52.713178294573623</v>
      </c>
      <c r="I146" s="25">
        <v>2944</v>
      </c>
      <c r="J146" s="26">
        <f t="shared" si="17"/>
        <v>6.7999999999999972</v>
      </c>
      <c r="K146" s="21">
        <f t="shared" si="18"/>
        <v>30.629375999999986</v>
      </c>
      <c r="L146" s="38">
        <v>1.75</v>
      </c>
      <c r="M146" s="30">
        <v>5</v>
      </c>
      <c r="N146" s="16">
        <f t="shared" si="19"/>
        <v>5.1258751999999976</v>
      </c>
      <c r="O146" s="13">
        <f t="shared" si="20"/>
        <v>37.505251199999982</v>
      </c>
    </row>
    <row r="147" spans="1:15" x14ac:dyDescent="0.3">
      <c r="A147" s="41"/>
      <c r="B147" s="20">
        <v>0.35416666666666669</v>
      </c>
      <c r="C147" s="21">
        <v>38.799999999999997</v>
      </c>
      <c r="D147" s="33">
        <v>32</v>
      </c>
      <c r="E147" s="7">
        <v>26</v>
      </c>
      <c r="F147" s="11">
        <f t="shared" si="14"/>
        <v>6.7999999999999972</v>
      </c>
      <c r="G147" s="23">
        <f t="shared" si="15"/>
        <v>6</v>
      </c>
      <c r="H147" s="24">
        <f t="shared" si="16"/>
        <v>53.124999999999986</v>
      </c>
      <c r="I147" s="25">
        <v>3064</v>
      </c>
      <c r="J147" s="26">
        <f t="shared" si="17"/>
        <v>6.7999999999999972</v>
      </c>
      <c r="K147" s="21">
        <f t="shared" si="18"/>
        <v>31.877855999999987</v>
      </c>
      <c r="L147" s="38">
        <v>1.75</v>
      </c>
      <c r="M147" s="30">
        <v>5</v>
      </c>
      <c r="N147" s="16">
        <f t="shared" si="19"/>
        <v>5.3755711999999978</v>
      </c>
      <c r="O147" s="13">
        <f t="shared" si="20"/>
        <v>39.003427199999983</v>
      </c>
    </row>
    <row r="148" spans="1:15" x14ac:dyDescent="0.3">
      <c r="A148" s="41"/>
      <c r="B148" s="20">
        <v>0.4375</v>
      </c>
      <c r="C148" s="21">
        <v>39.200000000000003</v>
      </c>
      <c r="D148" s="33">
        <v>32.4</v>
      </c>
      <c r="E148" s="7">
        <v>26</v>
      </c>
      <c r="F148" s="11">
        <f t="shared" si="14"/>
        <v>6.8000000000000043</v>
      </c>
      <c r="G148" s="23">
        <f t="shared" si="15"/>
        <v>6.3999999999999986</v>
      </c>
      <c r="H148" s="24">
        <f t="shared" si="16"/>
        <v>51.515151515151537</v>
      </c>
      <c r="I148" s="25">
        <v>2891</v>
      </c>
      <c r="J148" s="26">
        <f t="shared" si="17"/>
        <v>6.8000000000000043</v>
      </c>
      <c r="K148" s="21">
        <f t="shared" si="18"/>
        <v>30.077964000000016</v>
      </c>
      <c r="L148" s="38">
        <v>1.75</v>
      </c>
      <c r="M148" s="30">
        <v>5</v>
      </c>
      <c r="N148" s="16">
        <f t="shared" si="19"/>
        <v>5.015592800000003</v>
      </c>
      <c r="O148" s="13">
        <f t="shared" si="20"/>
        <v>36.843556800000016</v>
      </c>
    </row>
    <row r="149" spans="1:15" x14ac:dyDescent="0.3">
      <c r="A149" s="41"/>
      <c r="B149" s="20">
        <v>0.52083333333333337</v>
      </c>
      <c r="C149" s="21">
        <v>39.9</v>
      </c>
      <c r="D149" s="33">
        <v>33.1</v>
      </c>
      <c r="E149" s="7">
        <v>26</v>
      </c>
      <c r="F149" s="11">
        <f t="shared" si="14"/>
        <v>6.7999999999999972</v>
      </c>
      <c r="G149" s="23">
        <f t="shared" si="15"/>
        <v>7.1000000000000014</v>
      </c>
      <c r="H149" s="24">
        <f t="shared" si="16"/>
        <v>48.920863309352505</v>
      </c>
      <c r="I149" s="25">
        <v>3057</v>
      </c>
      <c r="J149" s="26">
        <f t="shared" si="17"/>
        <v>6.7999999999999972</v>
      </c>
      <c r="K149" s="21">
        <f t="shared" si="18"/>
        <v>31.805027999999986</v>
      </c>
      <c r="L149" s="38">
        <v>1.75</v>
      </c>
      <c r="M149" s="30">
        <v>5</v>
      </c>
      <c r="N149" s="16">
        <f t="shared" si="19"/>
        <v>5.3610055999999968</v>
      </c>
      <c r="O149" s="13">
        <f t="shared" si="20"/>
        <v>38.916033599999984</v>
      </c>
    </row>
    <row r="150" spans="1:15" x14ac:dyDescent="0.3">
      <c r="A150" s="41"/>
      <c r="B150" s="20">
        <v>0.60416666666666663</v>
      </c>
      <c r="C150" s="21">
        <v>40</v>
      </c>
      <c r="D150" s="33">
        <v>33.200000000000003</v>
      </c>
      <c r="E150" s="7">
        <v>26</v>
      </c>
      <c r="F150" s="11">
        <f t="shared" si="14"/>
        <v>6.7999999999999972</v>
      </c>
      <c r="G150" s="23">
        <f t="shared" si="15"/>
        <v>7.2000000000000028</v>
      </c>
      <c r="H150" s="24">
        <f t="shared" si="16"/>
        <v>48.571428571428548</v>
      </c>
      <c r="I150" s="25">
        <v>2920</v>
      </c>
      <c r="J150" s="26">
        <f t="shared" si="17"/>
        <v>6.7999999999999972</v>
      </c>
      <c r="K150" s="21">
        <f t="shared" si="18"/>
        <v>30.379679999999986</v>
      </c>
      <c r="L150" s="38">
        <v>1.75</v>
      </c>
      <c r="M150" s="30">
        <v>5</v>
      </c>
      <c r="N150" s="16">
        <f t="shared" si="19"/>
        <v>5.0759359999999969</v>
      </c>
      <c r="O150" s="13">
        <f t="shared" si="20"/>
        <v>37.205615999999985</v>
      </c>
    </row>
    <row r="151" spans="1:15" x14ac:dyDescent="0.3">
      <c r="A151" s="41"/>
      <c r="B151" s="20">
        <v>0.6875</v>
      </c>
      <c r="C151" s="21">
        <v>39.700000000000003</v>
      </c>
      <c r="D151" s="33">
        <v>32.9</v>
      </c>
      <c r="E151" s="7">
        <v>26</v>
      </c>
      <c r="F151" s="11">
        <f t="shared" si="14"/>
        <v>6.8000000000000043</v>
      </c>
      <c r="G151" s="23">
        <f t="shared" si="15"/>
        <v>6.8999999999999986</v>
      </c>
      <c r="H151" s="24">
        <f t="shared" si="16"/>
        <v>49.635036496350388</v>
      </c>
      <c r="I151" s="25">
        <v>2970</v>
      </c>
      <c r="J151" s="26">
        <f t="shared" si="17"/>
        <v>6.8000000000000043</v>
      </c>
      <c r="K151" s="21">
        <f t="shared" si="18"/>
        <v>30.899880000000014</v>
      </c>
      <c r="L151" s="38">
        <v>1.75</v>
      </c>
      <c r="M151" s="30">
        <v>5</v>
      </c>
      <c r="N151" s="16">
        <f t="shared" si="19"/>
        <v>5.1799760000000026</v>
      </c>
      <c r="O151" s="13">
        <f t="shared" si="20"/>
        <v>37.829856000000014</v>
      </c>
    </row>
    <row r="152" spans="1:15" x14ac:dyDescent="0.3">
      <c r="A152" s="41"/>
      <c r="B152" s="20">
        <v>0.77083333333333337</v>
      </c>
      <c r="C152" s="21">
        <v>39.200000000000003</v>
      </c>
      <c r="D152" s="33">
        <v>32.6</v>
      </c>
      <c r="E152" s="7">
        <v>26</v>
      </c>
      <c r="F152" s="11">
        <f t="shared" si="14"/>
        <v>6.6000000000000014</v>
      </c>
      <c r="G152" s="23">
        <f t="shared" si="15"/>
        <v>6.6000000000000014</v>
      </c>
      <c r="H152" s="24">
        <f t="shared" si="16"/>
        <v>50</v>
      </c>
      <c r="I152" s="25">
        <v>3032</v>
      </c>
      <c r="J152" s="26">
        <f t="shared" si="17"/>
        <v>6.6000000000000014</v>
      </c>
      <c r="K152" s="21">
        <f t="shared" si="18"/>
        <v>30.617136000000006</v>
      </c>
      <c r="L152" s="38">
        <v>1.75</v>
      </c>
      <c r="M152" s="30">
        <v>5</v>
      </c>
      <c r="N152" s="16">
        <f t="shared" si="19"/>
        <v>5.123427200000001</v>
      </c>
      <c r="O152" s="13">
        <f t="shared" si="20"/>
        <v>37.490563200000004</v>
      </c>
    </row>
    <row r="153" spans="1:15" x14ac:dyDescent="0.3">
      <c r="A153" s="41"/>
      <c r="B153" s="20">
        <v>0.85416666666666663</v>
      </c>
      <c r="C153" s="21">
        <v>39.5</v>
      </c>
      <c r="D153" s="33">
        <v>32.6</v>
      </c>
      <c r="E153" s="7">
        <v>26</v>
      </c>
      <c r="F153" s="11">
        <f t="shared" si="14"/>
        <v>6.8999999999999986</v>
      </c>
      <c r="G153" s="23">
        <f t="shared" si="15"/>
        <v>6.6000000000000014</v>
      </c>
      <c r="H153" s="24">
        <f t="shared" si="16"/>
        <v>51.111111111111093</v>
      </c>
      <c r="I153" s="25">
        <v>2942</v>
      </c>
      <c r="J153" s="26">
        <f t="shared" si="17"/>
        <v>6.8999999999999986</v>
      </c>
      <c r="K153" s="21">
        <f t="shared" si="18"/>
        <v>31.058693999999988</v>
      </c>
      <c r="L153" s="38">
        <v>1.75</v>
      </c>
      <c r="M153" s="30">
        <v>5</v>
      </c>
      <c r="N153" s="16">
        <f t="shared" si="19"/>
        <v>5.2117387999999973</v>
      </c>
      <c r="O153" s="13">
        <f t="shared" si="20"/>
        <v>38.020432799999988</v>
      </c>
    </row>
    <row r="154" spans="1:15" x14ac:dyDescent="0.3">
      <c r="A154" s="41"/>
      <c r="B154" s="20">
        <v>0.9375</v>
      </c>
      <c r="C154" s="21">
        <v>38.700000000000003</v>
      </c>
      <c r="D154" s="33">
        <v>31.9</v>
      </c>
      <c r="E154" s="7">
        <v>26</v>
      </c>
      <c r="F154" s="11">
        <f t="shared" si="14"/>
        <v>6.8000000000000043</v>
      </c>
      <c r="G154" s="23">
        <f t="shared" si="15"/>
        <v>5.8999999999999986</v>
      </c>
      <c r="H154" s="24">
        <f t="shared" si="16"/>
        <v>53.543307086614199</v>
      </c>
      <c r="I154" s="25">
        <v>2921</v>
      </c>
      <c r="J154" s="26">
        <f t="shared" si="17"/>
        <v>6.8000000000000043</v>
      </c>
      <c r="K154" s="21">
        <f t="shared" si="18"/>
        <v>30.390084000000019</v>
      </c>
      <c r="L154" s="38">
        <v>1.75</v>
      </c>
      <c r="M154" s="30">
        <v>5</v>
      </c>
      <c r="N154" s="16">
        <f t="shared" si="19"/>
        <v>5.0780168000000039</v>
      </c>
      <c r="O154" s="13">
        <f t="shared" si="20"/>
        <v>37.218100800000016</v>
      </c>
    </row>
    <row r="155" spans="1:15" x14ac:dyDescent="0.3">
      <c r="A155" s="41"/>
      <c r="B155" s="20">
        <v>2.0833333333333332E-2</v>
      </c>
      <c r="C155" s="21">
        <v>38.799999999999997</v>
      </c>
      <c r="D155" s="33">
        <v>32</v>
      </c>
      <c r="E155" s="7">
        <v>26</v>
      </c>
      <c r="F155" s="11">
        <f t="shared" si="14"/>
        <v>6.7999999999999972</v>
      </c>
      <c r="G155" s="23">
        <f t="shared" si="15"/>
        <v>6</v>
      </c>
      <c r="H155" s="24">
        <f t="shared" si="16"/>
        <v>53.124999999999986</v>
      </c>
      <c r="I155" s="25">
        <v>2960</v>
      </c>
      <c r="J155" s="26">
        <f t="shared" si="17"/>
        <v>6.7999999999999972</v>
      </c>
      <c r="K155" s="21">
        <f t="shared" si="18"/>
        <v>30.795839999999984</v>
      </c>
      <c r="L155" s="38">
        <v>1.75</v>
      </c>
      <c r="M155" s="30">
        <v>5</v>
      </c>
      <c r="N155" s="16">
        <f t="shared" si="19"/>
        <v>5.1591679999999966</v>
      </c>
      <c r="O155" s="13">
        <f t="shared" si="20"/>
        <v>37.705007999999978</v>
      </c>
    </row>
    <row r="156" spans="1:15" x14ac:dyDescent="0.3">
      <c r="A156" s="41"/>
      <c r="B156" s="20">
        <v>0.10416666666666667</v>
      </c>
      <c r="C156" s="21">
        <v>38.700000000000003</v>
      </c>
      <c r="D156" s="33">
        <v>31.9</v>
      </c>
      <c r="E156" s="7">
        <v>26</v>
      </c>
      <c r="F156" s="11">
        <f t="shared" si="14"/>
        <v>6.8000000000000043</v>
      </c>
      <c r="G156" s="23">
        <f t="shared" si="15"/>
        <v>5.8999999999999986</v>
      </c>
      <c r="H156" s="24">
        <f t="shared" si="16"/>
        <v>53.543307086614199</v>
      </c>
      <c r="I156" s="25">
        <v>2953</v>
      </c>
      <c r="J156" s="26">
        <f t="shared" si="17"/>
        <v>6.8000000000000043</v>
      </c>
      <c r="K156" s="21">
        <f t="shared" si="18"/>
        <v>30.723012000000018</v>
      </c>
      <c r="L156" s="38">
        <v>1.75</v>
      </c>
      <c r="M156" s="30">
        <v>5</v>
      </c>
      <c r="N156" s="16">
        <f t="shared" si="19"/>
        <v>5.1446024000000037</v>
      </c>
      <c r="O156" s="13">
        <f t="shared" si="20"/>
        <v>37.617614400000022</v>
      </c>
    </row>
    <row r="157" spans="1:15" x14ac:dyDescent="0.3">
      <c r="A157" s="41"/>
      <c r="B157" s="20">
        <v>0.1875</v>
      </c>
      <c r="C157" s="21">
        <v>38.200000000000003</v>
      </c>
      <c r="D157" s="33">
        <v>31.4</v>
      </c>
      <c r="E157" s="7">
        <v>26</v>
      </c>
      <c r="F157" s="11">
        <f t="shared" si="14"/>
        <v>6.8000000000000043</v>
      </c>
      <c r="G157" s="23">
        <f t="shared" si="15"/>
        <v>5.3999999999999986</v>
      </c>
      <c r="H157" s="24">
        <f t="shared" si="16"/>
        <v>55.737704918032804</v>
      </c>
      <c r="I157" s="25">
        <v>2947</v>
      </c>
      <c r="J157" s="26">
        <f t="shared" si="17"/>
        <v>6.8000000000000043</v>
      </c>
      <c r="K157" s="21">
        <f t="shared" si="18"/>
        <v>30.660588000000015</v>
      </c>
      <c r="L157" s="38">
        <v>1.75</v>
      </c>
      <c r="M157" s="30">
        <v>5</v>
      </c>
      <c r="N157" s="16">
        <f t="shared" si="19"/>
        <v>5.1321176000000026</v>
      </c>
      <c r="O157" s="13">
        <f t="shared" si="20"/>
        <v>37.542705600000019</v>
      </c>
    </row>
    <row r="158" spans="1:15" s="3" customFormat="1" x14ac:dyDescent="0.3">
      <c r="A158" s="34"/>
      <c r="B158" s="34"/>
      <c r="C158" s="34"/>
      <c r="D158" s="34"/>
      <c r="E158" s="34"/>
      <c r="F158" s="34"/>
      <c r="G158" s="34" t="s">
        <v>8</v>
      </c>
      <c r="H158" s="34">
        <f>AVERAGE(H146:H157)</f>
        <v>51.79509069910241</v>
      </c>
      <c r="I158" s="34"/>
      <c r="J158" s="34"/>
      <c r="K158" s="34">
        <f>AVERAGE(K146:K157)</f>
        <v>30.826261500000005</v>
      </c>
      <c r="L158" s="34"/>
      <c r="M158" s="34"/>
      <c r="N158" s="34">
        <f>AVERAGE(N146:N157)</f>
        <v>5.1652523000000006</v>
      </c>
      <c r="O158" s="34">
        <f>AVERAGE(O146:O157)</f>
        <v>37.7415138</v>
      </c>
    </row>
    <row r="159" spans="1:15" x14ac:dyDescent="0.3">
      <c r="A159" s="19">
        <v>44605</v>
      </c>
      <c r="B159" s="20">
        <v>0.27083333333333331</v>
      </c>
      <c r="C159" s="21">
        <v>37.799999999999997</v>
      </c>
      <c r="D159" s="33">
        <v>31</v>
      </c>
      <c r="E159" s="7">
        <v>26</v>
      </c>
      <c r="F159" s="11">
        <f t="shared" si="14"/>
        <v>6.7999999999999972</v>
      </c>
      <c r="G159" s="23">
        <f t="shared" si="15"/>
        <v>5</v>
      </c>
      <c r="H159" s="24">
        <f t="shared" si="16"/>
        <v>57.627118644067785</v>
      </c>
      <c r="I159" s="25">
        <v>2934</v>
      </c>
      <c r="J159" s="26">
        <f t="shared" si="17"/>
        <v>6.7999999999999972</v>
      </c>
      <c r="K159" s="21">
        <f t="shared" si="18"/>
        <v>30.525335999999989</v>
      </c>
      <c r="L159" s="38">
        <v>1.75</v>
      </c>
      <c r="M159" s="30">
        <v>5</v>
      </c>
      <c r="N159" s="16">
        <f t="shared" si="19"/>
        <v>5.1050671999999979</v>
      </c>
      <c r="O159" s="13">
        <f t="shared" si="20"/>
        <v>37.380403199999989</v>
      </c>
    </row>
    <row r="160" spans="1:15" x14ac:dyDescent="0.3">
      <c r="A160" s="19"/>
      <c r="B160" s="20">
        <v>0.35416666666666669</v>
      </c>
      <c r="C160" s="21">
        <v>37.6</v>
      </c>
      <c r="D160" s="33">
        <v>30.8</v>
      </c>
      <c r="E160" s="7">
        <v>26</v>
      </c>
      <c r="F160" s="11">
        <f t="shared" si="14"/>
        <v>6.8000000000000007</v>
      </c>
      <c r="G160" s="23">
        <f t="shared" si="15"/>
        <v>4.8000000000000007</v>
      </c>
      <c r="H160" s="24">
        <f t="shared" si="16"/>
        <v>58.620689655172406</v>
      </c>
      <c r="I160" s="25">
        <v>3000</v>
      </c>
      <c r="J160" s="26">
        <f t="shared" si="17"/>
        <v>6.8000000000000007</v>
      </c>
      <c r="K160" s="21">
        <f t="shared" si="18"/>
        <v>31.212000000000003</v>
      </c>
      <c r="L160" s="38">
        <v>1.75</v>
      </c>
      <c r="M160" s="30">
        <v>5</v>
      </c>
      <c r="N160" s="16">
        <f t="shared" si="19"/>
        <v>5.2424000000000008</v>
      </c>
      <c r="O160" s="13">
        <f t="shared" si="20"/>
        <v>38.204400000000007</v>
      </c>
    </row>
    <row r="161" spans="1:15" x14ac:dyDescent="0.3">
      <c r="A161" s="19"/>
      <c r="B161" s="20">
        <v>0.4375</v>
      </c>
      <c r="C161" s="21">
        <v>38.5</v>
      </c>
      <c r="D161" s="33">
        <v>31.8</v>
      </c>
      <c r="E161" s="7">
        <v>26</v>
      </c>
      <c r="F161" s="11">
        <f t="shared" si="14"/>
        <v>6.6999999999999993</v>
      </c>
      <c r="G161" s="23">
        <f t="shared" si="15"/>
        <v>5.8000000000000007</v>
      </c>
      <c r="H161" s="24">
        <f t="shared" si="16"/>
        <v>53.599999999999994</v>
      </c>
      <c r="I161" s="25">
        <v>2970</v>
      </c>
      <c r="J161" s="26">
        <f t="shared" si="17"/>
        <v>6.6999999999999993</v>
      </c>
      <c r="K161" s="21">
        <f t="shared" si="18"/>
        <v>30.445469999999993</v>
      </c>
      <c r="L161" s="38">
        <v>1.75</v>
      </c>
      <c r="M161" s="30">
        <v>5</v>
      </c>
      <c r="N161" s="16">
        <f t="shared" si="19"/>
        <v>5.0890939999999985</v>
      </c>
      <c r="O161" s="13">
        <f t="shared" si="20"/>
        <v>37.284563999999989</v>
      </c>
    </row>
    <row r="162" spans="1:15" x14ac:dyDescent="0.3">
      <c r="A162" s="19"/>
      <c r="B162" s="20">
        <v>0.52083333333333337</v>
      </c>
      <c r="C162" s="21">
        <v>39.700000000000003</v>
      </c>
      <c r="D162" s="33">
        <v>33</v>
      </c>
      <c r="E162" s="7">
        <v>26</v>
      </c>
      <c r="F162" s="11">
        <f t="shared" si="14"/>
        <v>6.7000000000000028</v>
      </c>
      <c r="G162" s="23">
        <f t="shared" si="15"/>
        <v>7</v>
      </c>
      <c r="H162" s="24">
        <f t="shared" si="16"/>
        <v>48.905109489051107</v>
      </c>
      <c r="I162" s="25">
        <v>2984</v>
      </c>
      <c r="J162" s="26">
        <f t="shared" si="17"/>
        <v>6.7000000000000028</v>
      </c>
      <c r="K162" s="21">
        <f t="shared" si="18"/>
        <v>30.588984000000007</v>
      </c>
      <c r="L162" s="38">
        <v>1.75</v>
      </c>
      <c r="M162" s="30">
        <v>5</v>
      </c>
      <c r="N162" s="16">
        <f t="shared" si="19"/>
        <v>5.1177968000000016</v>
      </c>
      <c r="O162" s="13">
        <f t="shared" si="20"/>
        <v>37.456780800000011</v>
      </c>
    </row>
    <row r="163" spans="1:15" x14ac:dyDescent="0.3">
      <c r="A163" s="19"/>
      <c r="B163" s="20">
        <v>0.60416666666666663</v>
      </c>
      <c r="C163" s="21">
        <v>39.4</v>
      </c>
      <c r="D163" s="33">
        <v>32.6</v>
      </c>
      <c r="E163" s="7">
        <v>26</v>
      </c>
      <c r="F163" s="11">
        <f t="shared" si="14"/>
        <v>6.7999999999999972</v>
      </c>
      <c r="G163" s="23">
        <f t="shared" si="15"/>
        <v>6.6000000000000014</v>
      </c>
      <c r="H163" s="24">
        <f t="shared" si="16"/>
        <v>50.746268656716396</v>
      </c>
      <c r="I163" s="25">
        <v>2963</v>
      </c>
      <c r="J163" s="26">
        <f t="shared" si="17"/>
        <v>6.7999999999999972</v>
      </c>
      <c r="K163" s="21">
        <f t="shared" si="18"/>
        <v>30.827051999999984</v>
      </c>
      <c r="L163" s="38">
        <v>1.75</v>
      </c>
      <c r="M163" s="30">
        <v>5</v>
      </c>
      <c r="N163" s="16">
        <f t="shared" si="19"/>
        <v>5.1654103999999972</v>
      </c>
      <c r="O163" s="13">
        <f t="shared" si="20"/>
        <v>37.74246239999998</v>
      </c>
    </row>
    <row r="164" spans="1:15" x14ac:dyDescent="0.3">
      <c r="A164" s="19"/>
      <c r="B164" s="20">
        <v>0.6875</v>
      </c>
      <c r="C164" s="21">
        <v>39.4</v>
      </c>
      <c r="D164" s="33">
        <v>32.6</v>
      </c>
      <c r="E164" s="7">
        <v>26</v>
      </c>
      <c r="F164" s="11">
        <f t="shared" si="14"/>
        <v>6.7999999999999972</v>
      </c>
      <c r="G164" s="23">
        <f t="shared" si="15"/>
        <v>6.6000000000000014</v>
      </c>
      <c r="H164" s="24">
        <f t="shared" si="16"/>
        <v>50.746268656716396</v>
      </c>
      <c r="I164" s="25">
        <v>2995</v>
      </c>
      <c r="J164" s="26">
        <f t="shared" si="17"/>
        <v>6.7999999999999972</v>
      </c>
      <c r="K164" s="21">
        <f t="shared" si="18"/>
        <v>31.159979999999987</v>
      </c>
      <c r="L164" s="38">
        <v>1.75</v>
      </c>
      <c r="M164" s="30">
        <v>5</v>
      </c>
      <c r="N164" s="16">
        <f t="shared" si="19"/>
        <v>5.231995999999997</v>
      </c>
      <c r="O164" s="13">
        <f t="shared" si="20"/>
        <v>38.141975999999985</v>
      </c>
    </row>
    <row r="165" spans="1:15" x14ac:dyDescent="0.3">
      <c r="A165" s="19"/>
      <c r="B165" s="20">
        <v>0.77083333333333337</v>
      </c>
      <c r="C165" s="21">
        <v>38.1</v>
      </c>
      <c r="D165" s="33">
        <v>31.8</v>
      </c>
      <c r="E165" s="7">
        <v>26</v>
      </c>
      <c r="F165" s="11">
        <f t="shared" si="14"/>
        <v>6.3000000000000007</v>
      </c>
      <c r="G165" s="23">
        <f t="shared" si="15"/>
        <v>5.8000000000000007</v>
      </c>
      <c r="H165" s="24">
        <f t="shared" si="16"/>
        <v>52.066115702479344</v>
      </c>
      <c r="I165" s="25">
        <v>2888</v>
      </c>
      <c r="J165" s="26">
        <f t="shared" si="17"/>
        <v>6.3000000000000007</v>
      </c>
      <c r="K165" s="21">
        <f t="shared" si="18"/>
        <v>27.837432000000003</v>
      </c>
      <c r="L165" s="38">
        <v>1.75</v>
      </c>
      <c r="M165" s="30">
        <v>5</v>
      </c>
      <c r="N165" s="16">
        <f t="shared" si="19"/>
        <v>4.5674864000000008</v>
      </c>
      <c r="O165" s="13">
        <f t="shared" si="20"/>
        <v>34.154918400000007</v>
      </c>
    </row>
    <row r="166" spans="1:15" x14ac:dyDescent="0.3">
      <c r="A166" s="19"/>
      <c r="B166" s="20">
        <v>0.85416666666666663</v>
      </c>
      <c r="C166" s="21">
        <v>38.200000000000003</v>
      </c>
      <c r="D166" s="33">
        <v>31.6</v>
      </c>
      <c r="E166" s="7">
        <v>26</v>
      </c>
      <c r="F166" s="11">
        <f t="shared" si="14"/>
        <v>6.6000000000000014</v>
      </c>
      <c r="G166" s="23">
        <f t="shared" si="15"/>
        <v>5.6000000000000014</v>
      </c>
      <c r="H166" s="24">
        <f t="shared" si="16"/>
        <v>54.098360655737707</v>
      </c>
      <c r="I166" s="25">
        <v>2967</v>
      </c>
      <c r="J166" s="26">
        <f t="shared" si="17"/>
        <v>6.6000000000000014</v>
      </c>
      <c r="K166" s="21">
        <f t="shared" si="18"/>
        <v>29.960766000000007</v>
      </c>
      <c r="L166" s="38">
        <v>1.75</v>
      </c>
      <c r="M166" s="30">
        <v>5</v>
      </c>
      <c r="N166" s="16">
        <f t="shared" si="19"/>
        <v>4.9921532000000015</v>
      </c>
      <c r="O166" s="13">
        <f t="shared" si="20"/>
        <v>36.702919200000011</v>
      </c>
    </row>
    <row r="167" spans="1:15" x14ac:dyDescent="0.3">
      <c r="A167" s="19"/>
      <c r="B167" s="20">
        <v>0.9375</v>
      </c>
      <c r="C167" s="21">
        <v>39.299999999999997</v>
      </c>
      <c r="D167" s="33">
        <v>32.9</v>
      </c>
      <c r="E167" s="7">
        <v>26</v>
      </c>
      <c r="F167" s="11">
        <f t="shared" si="14"/>
        <v>6.3999999999999986</v>
      </c>
      <c r="G167" s="23">
        <f t="shared" si="15"/>
        <v>6.8999999999999986</v>
      </c>
      <c r="H167" s="24">
        <f t="shared" si="16"/>
        <v>48.120300751879697</v>
      </c>
      <c r="I167" s="25">
        <v>2970</v>
      </c>
      <c r="J167" s="26">
        <f t="shared" si="17"/>
        <v>6.3999999999999986</v>
      </c>
      <c r="K167" s="21">
        <f t="shared" si="18"/>
        <v>29.082239999999988</v>
      </c>
      <c r="L167" s="38">
        <v>1.75</v>
      </c>
      <c r="M167" s="30">
        <v>5</v>
      </c>
      <c r="N167" s="16">
        <f t="shared" si="19"/>
        <v>4.8164479999999976</v>
      </c>
      <c r="O167" s="13">
        <f t="shared" si="20"/>
        <v>35.648687999999986</v>
      </c>
    </row>
    <row r="168" spans="1:15" x14ac:dyDescent="0.3">
      <c r="A168" s="19"/>
      <c r="B168" s="20">
        <v>2.0833333333333332E-2</v>
      </c>
      <c r="C168" s="21">
        <v>40.1</v>
      </c>
      <c r="D168" s="33">
        <v>33.700000000000003</v>
      </c>
      <c r="E168" s="7">
        <v>26</v>
      </c>
      <c r="F168" s="11">
        <f t="shared" si="14"/>
        <v>6.3999999999999986</v>
      </c>
      <c r="G168" s="23">
        <f t="shared" si="15"/>
        <v>7.7000000000000028</v>
      </c>
      <c r="H168" s="24">
        <f t="shared" si="16"/>
        <v>45.390070921985803</v>
      </c>
      <c r="I168" s="25">
        <v>3020</v>
      </c>
      <c r="J168" s="26">
        <f t="shared" si="17"/>
        <v>6.3999999999999986</v>
      </c>
      <c r="K168" s="21">
        <f t="shared" si="18"/>
        <v>29.571839999999991</v>
      </c>
      <c r="L168" s="38">
        <v>1.75</v>
      </c>
      <c r="M168" s="30">
        <v>5</v>
      </c>
      <c r="N168" s="16">
        <f t="shared" si="19"/>
        <v>4.9143679999999978</v>
      </c>
      <c r="O168" s="13">
        <f t="shared" si="20"/>
        <v>36.236207999999991</v>
      </c>
    </row>
    <row r="169" spans="1:15" x14ac:dyDescent="0.3">
      <c r="A169" s="19"/>
      <c r="B169" s="20">
        <v>0.10416666666666667</v>
      </c>
      <c r="C169" s="21">
        <v>40.5</v>
      </c>
      <c r="D169" s="33">
        <v>33.700000000000003</v>
      </c>
      <c r="E169" s="7">
        <v>26</v>
      </c>
      <c r="F169" s="11">
        <f t="shared" si="14"/>
        <v>6.7999999999999972</v>
      </c>
      <c r="G169" s="23">
        <f t="shared" si="15"/>
        <v>7.7000000000000028</v>
      </c>
      <c r="H169" s="24">
        <f t="shared" si="16"/>
        <v>46.896551724137915</v>
      </c>
      <c r="I169" s="25">
        <v>2884</v>
      </c>
      <c r="J169" s="26">
        <f t="shared" si="17"/>
        <v>6.7999999999999972</v>
      </c>
      <c r="K169" s="21">
        <f t="shared" si="18"/>
        <v>30.005135999999986</v>
      </c>
      <c r="L169" s="38">
        <v>1.75</v>
      </c>
      <c r="M169" s="30">
        <v>5</v>
      </c>
      <c r="N169" s="16">
        <f t="shared" si="19"/>
        <v>5.0010271999999976</v>
      </c>
      <c r="O169" s="13">
        <f t="shared" si="20"/>
        <v>36.756163199999982</v>
      </c>
    </row>
    <row r="170" spans="1:15" x14ac:dyDescent="0.3">
      <c r="A170" s="19"/>
      <c r="B170" s="20">
        <v>0.1875</v>
      </c>
      <c r="C170" s="21">
        <v>39.9</v>
      </c>
      <c r="D170" s="33">
        <v>33.299999999999997</v>
      </c>
      <c r="E170" s="7">
        <v>26</v>
      </c>
      <c r="F170" s="11">
        <f t="shared" si="14"/>
        <v>6.6000000000000014</v>
      </c>
      <c r="G170" s="23">
        <f t="shared" si="15"/>
        <v>7.2999999999999972</v>
      </c>
      <c r="H170" s="24">
        <f t="shared" si="16"/>
        <v>47.482014388489226</v>
      </c>
      <c r="I170" s="25">
        <v>2866</v>
      </c>
      <c r="J170" s="26">
        <f t="shared" si="17"/>
        <v>6.6000000000000014</v>
      </c>
      <c r="K170" s="21">
        <f t="shared" si="18"/>
        <v>28.940868000000005</v>
      </c>
      <c r="L170" s="38">
        <v>1.75</v>
      </c>
      <c r="M170" s="30">
        <v>5</v>
      </c>
      <c r="N170" s="16">
        <f t="shared" si="19"/>
        <v>4.7881736000000013</v>
      </c>
      <c r="O170" s="13">
        <f t="shared" si="20"/>
        <v>35.479041600000009</v>
      </c>
    </row>
    <row r="171" spans="1:15" s="3" customFormat="1" x14ac:dyDescent="0.3">
      <c r="A171" s="34"/>
      <c r="B171" s="34"/>
      <c r="C171" s="34"/>
      <c r="D171" s="34"/>
      <c r="E171" s="34"/>
      <c r="F171" s="34"/>
      <c r="G171" s="34" t="s">
        <v>8</v>
      </c>
      <c r="H171" s="34">
        <f>AVERAGE(H159:H170)</f>
        <v>51.191572437202815</v>
      </c>
      <c r="I171" s="34"/>
      <c r="J171" s="34"/>
      <c r="K171" s="34">
        <f>AVERAGE(K159:K170)</f>
        <v>30.013092</v>
      </c>
      <c r="L171" s="34"/>
      <c r="M171" s="34"/>
      <c r="N171" s="34">
        <f>AVERAGE(N159:N170)</f>
        <v>5.0026183999999985</v>
      </c>
      <c r="O171" s="34">
        <f>AVERAGE(O159:O170)</f>
        <v>36.765710399999996</v>
      </c>
    </row>
    <row r="172" spans="1:15" x14ac:dyDescent="0.3">
      <c r="A172" s="40">
        <v>44606</v>
      </c>
      <c r="B172" s="20">
        <v>0.27083333333333331</v>
      </c>
      <c r="C172" s="21">
        <v>39.1</v>
      </c>
      <c r="D172" s="33">
        <v>32</v>
      </c>
      <c r="E172" s="7">
        <v>26</v>
      </c>
      <c r="F172" s="11">
        <f t="shared" si="14"/>
        <v>7.1000000000000014</v>
      </c>
      <c r="G172" s="23">
        <f t="shared" si="15"/>
        <v>6</v>
      </c>
      <c r="H172" s="24">
        <f t="shared" si="16"/>
        <v>54.198473282442748</v>
      </c>
      <c r="I172" s="25">
        <v>2911</v>
      </c>
      <c r="J172" s="26">
        <f t="shared" si="17"/>
        <v>7.1000000000000014</v>
      </c>
      <c r="K172" s="21">
        <f t="shared" si="18"/>
        <v>31.622193000000006</v>
      </c>
      <c r="L172" s="38">
        <v>1.75</v>
      </c>
      <c r="M172" s="30">
        <v>5</v>
      </c>
      <c r="N172" s="16">
        <f t="shared" si="19"/>
        <v>5.3244386000000015</v>
      </c>
      <c r="O172" s="13">
        <f t="shared" si="20"/>
        <v>38.696631600000011</v>
      </c>
    </row>
    <row r="173" spans="1:15" x14ac:dyDescent="0.3">
      <c r="A173" s="41"/>
      <c r="B173" s="20">
        <v>0.35416666666666669</v>
      </c>
      <c r="C173" s="21">
        <v>39.1</v>
      </c>
      <c r="D173" s="33">
        <v>32</v>
      </c>
      <c r="E173" s="7">
        <v>26</v>
      </c>
      <c r="F173" s="11">
        <f t="shared" si="14"/>
        <v>7.1000000000000014</v>
      </c>
      <c r="G173" s="23">
        <f t="shared" si="15"/>
        <v>6</v>
      </c>
      <c r="H173" s="24">
        <f t="shared" si="16"/>
        <v>54.198473282442748</v>
      </c>
      <c r="I173" s="25">
        <v>2911</v>
      </c>
      <c r="J173" s="26">
        <f t="shared" si="17"/>
        <v>7.1000000000000014</v>
      </c>
      <c r="K173" s="21">
        <f t="shared" si="18"/>
        <v>31.622193000000006</v>
      </c>
      <c r="L173" s="38">
        <v>1.75</v>
      </c>
      <c r="M173" s="30">
        <v>5</v>
      </c>
      <c r="N173" s="16">
        <f t="shared" si="19"/>
        <v>5.3244386000000015</v>
      </c>
      <c r="O173" s="13">
        <f t="shared" si="20"/>
        <v>38.696631600000011</v>
      </c>
    </row>
    <row r="174" spans="1:15" x14ac:dyDescent="0.3">
      <c r="A174" s="41"/>
      <c r="B174" s="20">
        <v>0.4375</v>
      </c>
      <c r="C174" s="21">
        <v>34</v>
      </c>
      <c r="D174" s="33">
        <v>33</v>
      </c>
      <c r="E174" s="7">
        <v>26</v>
      </c>
      <c r="F174" s="11">
        <f t="shared" si="14"/>
        <v>1</v>
      </c>
      <c r="G174" s="23">
        <f t="shared" si="15"/>
        <v>7</v>
      </c>
      <c r="H174" s="24">
        <f t="shared" si="16"/>
        <v>12.5</v>
      </c>
      <c r="I174" s="25">
        <v>2911</v>
      </c>
      <c r="J174" s="26">
        <f t="shared" si="17"/>
        <v>1</v>
      </c>
      <c r="K174" s="21">
        <f t="shared" si="18"/>
        <v>4.45383</v>
      </c>
      <c r="L174" s="38">
        <v>1.75</v>
      </c>
      <c r="M174" s="30">
        <v>5</v>
      </c>
      <c r="N174" s="16">
        <f t="shared" si="19"/>
        <v>-0.10923400000000005</v>
      </c>
      <c r="O174" s="13">
        <f t="shared" si="20"/>
        <v>6.0945960000000001</v>
      </c>
    </row>
    <row r="175" spans="1:15" x14ac:dyDescent="0.3">
      <c r="A175" s="41"/>
      <c r="B175" s="20">
        <v>0.52083333333333337</v>
      </c>
      <c r="C175" s="21">
        <v>40.6</v>
      </c>
      <c r="D175" s="33">
        <v>34</v>
      </c>
      <c r="E175" s="7">
        <v>26</v>
      </c>
      <c r="F175" s="11">
        <f t="shared" si="14"/>
        <v>6.6000000000000014</v>
      </c>
      <c r="G175" s="23">
        <f t="shared" si="15"/>
        <v>8</v>
      </c>
      <c r="H175" s="24">
        <f t="shared" si="16"/>
        <v>45.205479452054796</v>
      </c>
      <c r="I175" s="25">
        <v>2811</v>
      </c>
      <c r="J175" s="26">
        <f t="shared" si="17"/>
        <v>6.6000000000000014</v>
      </c>
      <c r="K175" s="21">
        <f t="shared" si="18"/>
        <v>28.385478000000003</v>
      </c>
      <c r="L175" s="38">
        <v>1.75</v>
      </c>
      <c r="M175" s="30">
        <v>5</v>
      </c>
      <c r="N175" s="16">
        <f t="shared" si="19"/>
        <v>4.6770956000000004</v>
      </c>
      <c r="O175" s="13">
        <f t="shared" si="20"/>
        <v>34.8125736</v>
      </c>
    </row>
    <row r="176" spans="1:15" x14ac:dyDescent="0.3">
      <c r="A176" s="41"/>
      <c r="B176" s="20">
        <v>0.60416666666666663</v>
      </c>
      <c r="C176" s="21">
        <v>39.799999999999997</v>
      </c>
      <c r="D176" s="33">
        <v>33</v>
      </c>
      <c r="E176" s="7">
        <v>26</v>
      </c>
      <c r="F176" s="11">
        <f t="shared" si="14"/>
        <v>6.7999999999999972</v>
      </c>
      <c r="G176" s="23">
        <f t="shared" si="15"/>
        <v>7</v>
      </c>
      <c r="H176" s="24">
        <f t="shared" si="16"/>
        <v>49.275362318840571</v>
      </c>
      <c r="I176" s="25">
        <v>2822</v>
      </c>
      <c r="J176" s="26">
        <f t="shared" si="17"/>
        <v>6.7999999999999972</v>
      </c>
      <c r="K176" s="21">
        <f t="shared" si="18"/>
        <v>29.360087999999987</v>
      </c>
      <c r="L176" s="38">
        <v>1.75</v>
      </c>
      <c r="M176" s="30">
        <v>5</v>
      </c>
      <c r="N176" s="16">
        <f t="shared" si="19"/>
        <v>4.8720175999999977</v>
      </c>
      <c r="O176" s="13">
        <f t="shared" si="20"/>
        <v>35.982105599999983</v>
      </c>
    </row>
    <row r="177" spans="1:15" x14ac:dyDescent="0.3">
      <c r="A177" s="41"/>
      <c r="B177" s="20">
        <v>0.6875</v>
      </c>
      <c r="C177" s="21">
        <v>39.6</v>
      </c>
      <c r="D177" s="33">
        <v>32.9</v>
      </c>
      <c r="E177" s="7">
        <v>26</v>
      </c>
      <c r="F177" s="11">
        <f t="shared" si="14"/>
        <v>6.7000000000000028</v>
      </c>
      <c r="G177" s="23">
        <f t="shared" si="15"/>
        <v>6.8999999999999986</v>
      </c>
      <c r="H177" s="24">
        <f t="shared" si="16"/>
        <v>49.264705882352956</v>
      </c>
      <c r="I177" s="25">
        <v>2834</v>
      </c>
      <c r="J177" s="26">
        <f t="shared" si="17"/>
        <v>6.7000000000000028</v>
      </c>
      <c r="K177" s="21">
        <f t="shared" si="18"/>
        <v>29.051334000000008</v>
      </c>
      <c r="L177" s="38">
        <v>1.75</v>
      </c>
      <c r="M177" s="30">
        <v>5</v>
      </c>
      <c r="N177" s="16">
        <f t="shared" si="19"/>
        <v>4.8102668000000017</v>
      </c>
      <c r="O177" s="13">
        <f t="shared" si="20"/>
        <v>35.611600800000012</v>
      </c>
    </row>
    <row r="178" spans="1:15" x14ac:dyDescent="0.3">
      <c r="A178" s="41"/>
      <c r="B178" s="20">
        <v>0.77083333333333337</v>
      </c>
      <c r="C178" s="21">
        <v>39.299999999999997</v>
      </c>
      <c r="D178" s="33">
        <v>32.6</v>
      </c>
      <c r="E178" s="7">
        <v>26</v>
      </c>
      <c r="F178" s="11">
        <f t="shared" si="14"/>
        <v>6.6999999999999957</v>
      </c>
      <c r="G178" s="23">
        <f t="shared" si="15"/>
        <v>6.6000000000000014</v>
      </c>
      <c r="H178" s="24">
        <f t="shared" si="16"/>
        <v>50.375939849624039</v>
      </c>
      <c r="I178" s="25">
        <v>2821</v>
      </c>
      <c r="J178" s="26">
        <f t="shared" si="17"/>
        <v>6.6999999999999957</v>
      </c>
      <c r="K178" s="21">
        <f t="shared" si="18"/>
        <v>28.918070999999976</v>
      </c>
      <c r="L178" s="38">
        <v>1.75</v>
      </c>
      <c r="M178" s="30">
        <v>5</v>
      </c>
      <c r="N178" s="16">
        <f t="shared" si="19"/>
        <v>4.7836141999999953</v>
      </c>
      <c r="O178" s="13">
        <f t="shared" si="20"/>
        <v>35.451685199999972</v>
      </c>
    </row>
    <row r="179" spans="1:15" x14ac:dyDescent="0.3">
      <c r="A179" s="41"/>
      <c r="B179" s="20">
        <v>0.85416666666666663</v>
      </c>
      <c r="C179" s="21">
        <v>39.799999999999997</v>
      </c>
      <c r="D179" s="33">
        <v>32.9</v>
      </c>
      <c r="E179" s="7">
        <v>26</v>
      </c>
      <c r="F179" s="11">
        <f t="shared" si="14"/>
        <v>6.8999999999999986</v>
      </c>
      <c r="G179" s="23">
        <f t="shared" si="15"/>
        <v>6.8999999999999986</v>
      </c>
      <c r="H179" s="24">
        <f t="shared" si="16"/>
        <v>50</v>
      </c>
      <c r="I179" s="25">
        <v>2816</v>
      </c>
      <c r="J179" s="26">
        <f t="shared" si="17"/>
        <v>6.8999999999999986</v>
      </c>
      <c r="K179" s="21">
        <f t="shared" si="18"/>
        <v>29.728511999999991</v>
      </c>
      <c r="L179" s="38">
        <v>1.75</v>
      </c>
      <c r="M179" s="30">
        <v>5</v>
      </c>
      <c r="N179" s="16">
        <f t="shared" si="19"/>
        <v>4.9457023999999983</v>
      </c>
      <c r="O179" s="13">
        <f t="shared" si="20"/>
        <v>36.42421439999999</v>
      </c>
    </row>
    <row r="180" spans="1:15" x14ac:dyDescent="0.3">
      <c r="A180" s="41"/>
      <c r="B180" s="20">
        <v>0.9375</v>
      </c>
      <c r="C180" s="21">
        <v>39.6</v>
      </c>
      <c r="D180" s="33">
        <v>32.799999999999997</v>
      </c>
      <c r="E180" s="7">
        <v>26</v>
      </c>
      <c r="F180" s="11">
        <f t="shared" si="14"/>
        <v>6.8000000000000043</v>
      </c>
      <c r="G180" s="23">
        <f t="shared" si="15"/>
        <v>6.7999999999999972</v>
      </c>
      <c r="H180" s="24">
        <f t="shared" si="16"/>
        <v>50.000000000000021</v>
      </c>
      <c r="I180" s="25">
        <v>2869</v>
      </c>
      <c r="J180" s="26">
        <f t="shared" si="17"/>
        <v>6.8000000000000043</v>
      </c>
      <c r="K180" s="21">
        <f t="shared" si="18"/>
        <v>29.849076000000018</v>
      </c>
      <c r="L180" s="38">
        <v>1.75</v>
      </c>
      <c r="M180" s="30">
        <v>5</v>
      </c>
      <c r="N180" s="16">
        <f t="shared" si="19"/>
        <v>4.9698152000000038</v>
      </c>
      <c r="O180" s="13">
        <f t="shared" si="20"/>
        <v>36.568891200000024</v>
      </c>
    </row>
    <row r="181" spans="1:15" x14ac:dyDescent="0.3">
      <c r="A181" s="41"/>
      <c r="B181" s="20">
        <v>2.0833333333333332E-2</v>
      </c>
      <c r="C181" s="21">
        <v>40.1</v>
      </c>
      <c r="D181" s="33">
        <v>33.299999999999997</v>
      </c>
      <c r="E181" s="7">
        <v>26</v>
      </c>
      <c r="F181" s="11">
        <f t="shared" si="14"/>
        <v>6.8000000000000043</v>
      </c>
      <c r="G181" s="23">
        <f t="shared" si="15"/>
        <v>7.2999999999999972</v>
      </c>
      <c r="H181" s="24">
        <f t="shared" si="16"/>
        <v>48.226950354609954</v>
      </c>
      <c r="I181" s="25">
        <v>2848</v>
      </c>
      <c r="J181" s="26">
        <f t="shared" si="17"/>
        <v>6.8000000000000043</v>
      </c>
      <c r="K181" s="21">
        <f t="shared" si="18"/>
        <v>29.630592000000014</v>
      </c>
      <c r="L181" s="38">
        <v>1.75</v>
      </c>
      <c r="M181" s="30">
        <v>5</v>
      </c>
      <c r="N181" s="16">
        <f t="shared" si="19"/>
        <v>4.9261184000000027</v>
      </c>
      <c r="O181" s="13">
        <f t="shared" si="20"/>
        <v>36.306710400000014</v>
      </c>
    </row>
    <row r="182" spans="1:15" x14ac:dyDescent="0.3">
      <c r="A182" s="41"/>
      <c r="B182" s="20">
        <v>0.10416666666666667</v>
      </c>
      <c r="C182" s="21">
        <v>39.799999999999997</v>
      </c>
      <c r="D182" s="33">
        <v>33.1</v>
      </c>
      <c r="E182" s="7">
        <v>26</v>
      </c>
      <c r="F182" s="11">
        <f t="shared" si="14"/>
        <v>6.6999999999999957</v>
      </c>
      <c r="G182" s="23">
        <f t="shared" si="15"/>
        <v>7.1000000000000014</v>
      </c>
      <c r="H182" s="24">
        <f t="shared" si="16"/>
        <v>48.550724637681135</v>
      </c>
      <c r="I182" s="25">
        <v>2808</v>
      </c>
      <c r="J182" s="26">
        <f t="shared" si="17"/>
        <v>6.6999999999999957</v>
      </c>
      <c r="K182" s="21">
        <f t="shared" si="18"/>
        <v>28.78480799999998</v>
      </c>
      <c r="L182" s="38">
        <v>1.75</v>
      </c>
      <c r="M182" s="30">
        <v>5</v>
      </c>
      <c r="N182" s="16">
        <f t="shared" si="19"/>
        <v>4.7569615999999959</v>
      </c>
      <c r="O182" s="13">
        <f t="shared" si="20"/>
        <v>35.291769599999974</v>
      </c>
    </row>
    <row r="183" spans="1:15" x14ac:dyDescent="0.3">
      <c r="A183" s="41"/>
      <c r="B183" s="20">
        <v>0.1875</v>
      </c>
      <c r="C183" s="21">
        <v>39.4</v>
      </c>
      <c r="D183" s="33">
        <v>32.799999999999997</v>
      </c>
      <c r="E183" s="7">
        <v>26</v>
      </c>
      <c r="F183" s="11">
        <f t="shared" si="14"/>
        <v>6.6000000000000014</v>
      </c>
      <c r="G183" s="23">
        <f t="shared" si="15"/>
        <v>6.7999999999999972</v>
      </c>
      <c r="H183" s="24">
        <f t="shared" si="16"/>
        <v>49.253731343283597</v>
      </c>
      <c r="I183" s="25">
        <v>2888</v>
      </c>
      <c r="J183" s="26">
        <f t="shared" si="17"/>
        <v>6.6000000000000014</v>
      </c>
      <c r="K183" s="21">
        <f t="shared" si="18"/>
        <v>29.163024000000007</v>
      </c>
      <c r="L183" s="38">
        <v>1.75</v>
      </c>
      <c r="M183" s="30">
        <v>5</v>
      </c>
      <c r="N183" s="16">
        <f t="shared" si="19"/>
        <v>4.8326048000000013</v>
      </c>
      <c r="O183" s="13">
        <f t="shared" si="20"/>
        <v>35.745628800000006</v>
      </c>
    </row>
    <row r="184" spans="1:15" s="3" customFormat="1" x14ac:dyDescent="0.3">
      <c r="A184" s="34"/>
      <c r="B184" s="34"/>
      <c r="C184" s="34"/>
      <c r="D184" s="34"/>
      <c r="E184" s="34"/>
      <c r="F184" s="34"/>
      <c r="G184" s="34" t="s">
        <v>8</v>
      </c>
      <c r="H184" s="34">
        <f>AVERAGE(H172:H183)</f>
        <v>46.754153366944372</v>
      </c>
      <c r="I184" s="34"/>
      <c r="J184" s="34"/>
      <c r="K184" s="34">
        <f>AVERAGE(K172:K183)</f>
        <v>27.547433250000001</v>
      </c>
      <c r="L184" s="34"/>
      <c r="M184" s="34"/>
      <c r="N184" s="34">
        <f>AVERAGE(N172:N183)</f>
        <v>4.5094866499999995</v>
      </c>
      <c r="O184" s="34">
        <f>AVERAGE(O172:O183)</f>
        <v>33.806919900000004</v>
      </c>
    </row>
    <row r="185" spans="1:15" x14ac:dyDescent="0.3">
      <c r="A185" s="19">
        <v>44607</v>
      </c>
      <c r="B185" s="20">
        <v>0.27083333333333331</v>
      </c>
      <c r="C185" s="21">
        <v>39.200000000000003</v>
      </c>
      <c r="D185" s="33">
        <v>32.6</v>
      </c>
      <c r="E185" s="7">
        <v>26</v>
      </c>
      <c r="F185" s="11">
        <f t="shared" si="14"/>
        <v>6.6000000000000014</v>
      </c>
      <c r="G185" s="23">
        <f t="shared" si="15"/>
        <v>6.6000000000000014</v>
      </c>
      <c r="H185" s="24">
        <f t="shared" si="16"/>
        <v>50</v>
      </c>
      <c r="I185" s="25">
        <v>2770</v>
      </c>
      <c r="J185" s="26">
        <f t="shared" si="17"/>
        <v>6.6000000000000014</v>
      </c>
      <c r="K185" s="21">
        <f t="shared" si="18"/>
        <v>27.97146</v>
      </c>
      <c r="L185" s="38">
        <v>1.75</v>
      </c>
      <c r="M185" s="30">
        <v>5</v>
      </c>
      <c r="N185" s="16">
        <f t="shared" si="19"/>
        <v>4.5942920000000003</v>
      </c>
      <c r="O185" s="13">
        <f t="shared" si="20"/>
        <v>34.315752000000003</v>
      </c>
    </row>
    <row r="186" spans="1:15" x14ac:dyDescent="0.3">
      <c r="A186" s="19"/>
      <c r="B186" s="20">
        <v>0.35416666666666669</v>
      </c>
      <c r="C186" s="21">
        <v>39.299999999999997</v>
      </c>
      <c r="D186" s="33">
        <v>32.700000000000003</v>
      </c>
      <c r="E186" s="7">
        <v>26</v>
      </c>
      <c r="F186" s="11">
        <f t="shared" si="14"/>
        <v>6.5999999999999943</v>
      </c>
      <c r="G186" s="23">
        <f t="shared" si="15"/>
        <v>6.7000000000000028</v>
      </c>
      <c r="H186" s="24">
        <f t="shared" si="16"/>
        <v>49.624060150375911</v>
      </c>
      <c r="I186" s="25">
        <v>2622</v>
      </c>
      <c r="J186" s="26">
        <f t="shared" si="17"/>
        <v>6.5999999999999943</v>
      </c>
      <c r="K186" s="21">
        <f t="shared" si="18"/>
        <v>26.476955999999976</v>
      </c>
      <c r="L186" s="38">
        <v>1.75</v>
      </c>
      <c r="M186" s="30">
        <v>5</v>
      </c>
      <c r="N186" s="16">
        <f t="shared" si="19"/>
        <v>4.2953911999999956</v>
      </c>
      <c r="O186" s="13">
        <f t="shared" si="20"/>
        <v>32.52234719999997</v>
      </c>
    </row>
    <row r="187" spans="1:15" x14ac:dyDescent="0.3">
      <c r="A187" s="19"/>
      <c r="B187" s="20">
        <v>0.4375</v>
      </c>
      <c r="C187" s="21">
        <v>40.1</v>
      </c>
      <c r="D187" s="33">
        <v>33.299999999999997</v>
      </c>
      <c r="E187" s="7">
        <v>26</v>
      </c>
      <c r="F187" s="11">
        <f t="shared" si="14"/>
        <v>6.8000000000000043</v>
      </c>
      <c r="G187" s="23">
        <f t="shared" si="15"/>
        <v>7.2999999999999972</v>
      </c>
      <c r="H187" s="24">
        <f t="shared" si="16"/>
        <v>48.226950354609954</v>
      </c>
      <c r="I187" s="25">
        <v>2922</v>
      </c>
      <c r="J187" s="26">
        <f t="shared" si="17"/>
        <v>6.8000000000000043</v>
      </c>
      <c r="K187" s="21">
        <f t="shared" si="18"/>
        <v>30.400488000000017</v>
      </c>
      <c r="L187" s="38">
        <v>1.75</v>
      </c>
      <c r="M187" s="30">
        <v>5</v>
      </c>
      <c r="N187" s="16">
        <f t="shared" si="19"/>
        <v>5.0800976000000038</v>
      </c>
      <c r="O187" s="13">
        <f t="shared" si="20"/>
        <v>37.230585600000019</v>
      </c>
    </row>
    <row r="188" spans="1:15" x14ac:dyDescent="0.3">
      <c r="A188" s="19"/>
      <c r="B188" s="20">
        <v>0.52083333333333337</v>
      </c>
      <c r="C188" s="21">
        <v>40.4</v>
      </c>
      <c r="D188" s="33">
        <v>33.6</v>
      </c>
      <c r="E188" s="7">
        <v>26</v>
      </c>
      <c r="F188" s="11">
        <f t="shared" si="14"/>
        <v>6.7999999999999972</v>
      </c>
      <c r="G188" s="23">
        <f t="shared" si="15"/>
        <v>7.6000000000000014</v>
      </c>
      <c r="H188" s="24">
        <f t="shared" si="16"/>
        <v>47.222222222222207</v>
      </c>
      <c r="I188" s="25">
        <v>2869</v>
      </c>
      <c r="J188" s="26">
        <f t="shared" si="17"/>
        <v>6.7999999999999972</v>
      </c>
      <c r="K188" s="21">
        <f t="shared" si="18"/>
        <v>29.849075999999986</v>
      </c>
      <c r="L188" s="38">
        <v>1.75</v>
      </c>
      <c r="M188" s="30">
        <v>5</v>
      </c>
      <c r="N188" s="16">
        <f t="shared" si="19"/>
        <v>4.9698151999999975</v>
      </c>
      <c r="O188" s="13">
        <f t="shared" si="20"/>
        <v>36.568891199999982</v>
      </c>
    </row>
    <row r="189" spans="1:15" x14ac:dyDescent="0.3">
      <c r="A189" s="19"/>
      <c r="B189" s="20">
        <v>0.60416666666666663</v>
      </c>
      <c r="C189" s="21">
        <v>39.9</v>
      </c>
      <c r="D189" s="33">
        <v>33.200000000000003</v>
      </c>
      <c r="E189" s="7">
        <v>26</v>
      </c>
      <c r="F189" s="11">
        <f t="shared" si="14"/>
        <v>6.6999999999999957</v>
      </c>
      <c r="G189" s="23">
        <f t="shared" si="15"/>
        <v>7.2000000000000028</v>
      </c>
      <c r="H189" s="24">
        <f t="shared" si="16"/>
        <v>48.201438848920837</v>
      </c>
      <c r="I189" s="25">
        <v>2780</v>
      </c>
      <c r="J189" s="26">
        <f t="shared" si="17"/>
        <v>6.6999999999999957</v>
      </c>
      <c r="K189" s="21">
        <f t="shared" si="18"/>
        <v>28.497779999999981</v>
      </c>
      <c r="L189" s="38">
        <v>1.75</v>
      </c>
      <c r="M189" s="30">
        <v>5</v>
      </c>
      <c r="N189" s="16">
        <f t="shared" si="19"/>
        <v>4.6995559999999958</v>
      </c>
      <c r="O189" s="13">
        <f t="shared" si="20"/>
        <v>34.947335999999979</v>
      </c>
    </row>
    <row r="190" spans="1:15" x14ac:dyDescent="0.3">
      <c r="A190" s="19"/>
      <c r="B190" s="20">
        <v>0.6875</v>
      </c>
      <c r="C190" s="21">
        <v>39.6</v>
      </c>
      <c r="D190" s="33">
        <v>33</v>
      </c>
      <c r="E190" s="7">
        <v>26</v>
      </c>
      <c r="F190" s="11">
        <f t="shared" si="14"/>
        <v>6.6000000000000014</v>
      </c>
      <c r="G190" s="23">
        <f t="shared" si="15"/>
        <v>7</v>
      </c>
      <c r="H190" s="24">
        <f t="shared" si="16"/>
        <v>48.529411764705884</v>
      </c>
      <c r="I190" s="25">
        <v>2811</v>
      </c>
      <c r="J190" s="26">
        <f t="shared" si="17"/>
        <v>6.6000000000000014</v>
      </c>
      <c r="K190" s="21">
        <f t="shared" si="18"/>
        <v>28.385478000000003</v>
      </c>
      <c r="L190" s="38">
        <v>1.75</v>
      </c>
      <c r="M190" s="30">
        <v>5</v>
      </c>
      <c r="N190" s="16">
        <f t="shared" si="19"/>
        <v>4.6770956000000004</v>
      </c>
      <c r="O190" s="13">
        <f t="shared" si="20"/>
        <v>34.8125736</v>
      </c>
    </row>
    <row r="191" spans="1:15" x14ac:dyDescent="0.3">
      <c r="A191" s="19"/>
      <c r="B191" s="20">
        <v>0.77083333333333337</v>
      </c>
      <c r="C191" s="21">
        <v>39.299999999999997</v>
      </c>
      <c r="D191" s="33">
        <v>32.700000000000003</v>
      </c>
      <c r="E191" s="7">
        <v>26</v>
      </c>
      <c r="F191" s="11">
        <f t="shared" si="14"/>
        <v>6.5999999999999943</v>
      </c>
      <c r="G191" s="23">
        <f t="shared" si="15"/>
        <v>6.7000000000000028</v>
      </c>
      <c r="H191" s="24">
        <f t="shared" si="16"/>
        <v>49.624060150375911</v>
      </c>
      <c r="I191" s="25">
        <v>2848</v>
      </c>
      <c r="J191" s="26">
        <f t="shared" si="17"/>
        <v>6.5999999999999943</v>
      </c>
      <c r="K191" s="21">
        <f t="shared" si="18"/>
        <v>28.759103999999972</v>
      </c>
      <c r="L191" s="38">
        <v>1.75</v>
      </c>
      <c r="M191" s="30">
        <v>5</v>
      </c>
      <c r="N191" s="16">
        <f t="shared" si="19"/>
        <v>4.7518207999999946</v>
      </c>
      <c r="O191" s="13">
        <f t="shared" si="20"/>
        <v>35.26092479999997</v>
      </c>
    </row>
    <row r="192" spans="1:15" x14ac:dyDescent="0.3">
      <c r="A192" s="19"/>
      <c r="B192" s="20">
        <v>0.85416666666666663</v>
      </c>
      <c r="C192" s="21">
        <v>39.9</v>
      </c>
      <c r="D192" s="33">
        <v>33</v>
      </c>
      <c r="E192" s="7">
        <v>26</v>
      </c>
      <c r="F192" s="11">
        <f t="shared" si="14"/>
        <v>6.8999999999999986</v>
      </c>
      <c r="G192" s="23">
        <f t="shared" si="15"/>
        <v>7</v>
      </c>
      <c r="H192" s="24">
        <f t="shared" si="16"/>
        <v>49.640287769784166</v>
      </c>
      <c r="I192" s="25">
        <v>2754</v>
      </c>
      <c r="J192" s="26">
        <f t="shared" si="17"/>
        <v>6.8999999999999986</v>
      </c>
      <c r="K192" s="21">
        <f t="shared" si="18"/>
        <v>29.073977999999993</v>
      </c>
      <c r="L192" s="38">
        <v>1.75</v>
      </c>
      <c r="M192" s="30">
        <v>5</v>
      </c>
      <c r="N192" s="16">
        <f t="shared" si="19"/>
        <v>4.8147955999999983</v>
      </c>
      <c r="O192" s="13">
        <f t="shared" si="20"/>
        <v>35.638773599999993</v>
      </c>
    </row>
    <row r="193" spans="1:15" x14ac:dyDescent="0.3">
      <c r="A193" s="19"/>
      <c r="B193" s="20">
        <v>0.9375</v>
      </c>
      <c r="C193" s="21">
        <v>40.5</v>
      </c>
      <c r="D193" s="33">
        <v>33.6</v>
      </c>
      <c r="E193" s="7">
        <v>26</v>
      </c>
      <c r="F193" s="11">
        <f t="shared" si="14"/>
        <v>6.8999999999999986</v>
      </c>
      <c r="G193" s="23">
        <f t="shared" si="15"/>
        <v>7.6000000000000014</v>
      </c>
      <c r="H193" s="24">
        <f t="shared" si="16"/>
        <v>47.586206896551715</v>
      </c>
      <c r="I193" s="25">
        <v>2767</v>
      </c>
      <c r="J193" s="26">
        <f t="shared" si="17"/>
        <v>6.8999999999999986</v>
      </c>
      <c r="K193" s="21">
        <f t="shared" si="18"/>
        <v>29.211218999999993</v>
      </c>
      <c r="L193" s="38">
        <v>1.75</v>
      </c>
      <c r="M193" s="30">
        <v>5</v>
      </c>
      <c r="N193" s="16">
        <f t="shared" si="19"/>
        <v>4.8422437999999985</v>
      </c>
      <c r="O193" s="13">
        <f t="shared" si="20"/>
        <v>35.803462799999991</v>
      </c>
    </row>
    <row r="194" spans="1:15" x14ac:dyDescent="0.3">
      <c r="A194" s="19"/>
      <c r="B194" s="20">
        <v>2.0833333333333332E-2</v>
      </c>
      <c r="C194" s="21">
        <v>40.5</v>
      </c>
      <c r="D194" s="33">
        <v>33.6</v>
      </c>
      <c r="E194" s="7">
        <v>26</v>
      </c>
      <c r="F194" s="11">
        <f t="shared" si="14"/>
        <v>6.8999999999999986</v>
      </c>
      <c r="G194" s="23">
        <f t="shared" si="15"/>
        <v>7.6000000000000014</v>
      </c>
      <c r="H194" s="24">
        <f t="shared" si="16"/>
        <v>47.586206896551715</v>
      </c>
      <c r="I194" s="25">
        <v>2624</v>
      </c>
      <c r="J194" s="26">
        <f t="shared" si="17"/>
        <v>6.8999999999999986</v>
      </c>
      <c r="K194" s="21">
        <f t="shared" si="18"/>
        <v>27.701567999999991</v>
      </c>
      <c r="L194" s="38">
        <v>1.75</v>
      </c>
      <c r="M194" s="30">
        <v>5</v>
      </c>
      <c r="N194" s="16">
        <f t="shared" si="19"/>
        <v>4.5403135999999984</v>
      </c>
      <c r="O194" s="13">
        <f t="shared" si="20"/>
        <v>33.991881599999992</v>
      </c>
    </row>
    <row r="195" spans="1:15" x14ac:dyDescent="0.3">
      <c r="A195" s="19"/>
      <c r="B195" s="20">
        <v>0.10416666666666667</v>
      </c>
      <c r="C195" s="21">
        <v>40.1</v>
      </c>
      <c r="D195" s="33">
        <v>33.200000000000003</v>
      </c>
      <c r="E195" s="7">
        <v>26</v>
      </c>
      <c r="F195" s="11">
        <f t="shared" ref="F195:F258" si="21">C195-D195</f>
        <v>6.8999999999999986</v>
      </c>
      <c r="G195" s="23">
        <f t="shared" ref="G195:G258" si="22">D195-E195</f>
        <v>7.2000000000000028</v>
      </c>
      <c r="H195" s="24">
        <f t="shared" si="16"/>
        <v>48.936170212765944</v>
      </c>
      <c r="I195" s="25">
        <v>2728</v>
      </c>
      <c r="J195" s="26">
        <f t="shared" si="17"/>
        <v>6.8999999999999986</v>
      </c>
      <c r="K195" s="21">
        <f t="shared" si="18"/>
        <v>28.799495999999991</v>
      </c>
      <c r="L195" s="38">
        <v>1.75</v>
      </c>
      <c r="M195" s="30">
        <v>5</v>
      </c>
      <c r="N195" s="16">
        <f t="shared" si="19"/>
        <v>4.7598991999999978</v>
      </c>
      <c r="O195" s="13">
        <f t="shared" si="20"/>
        <v>35.30939519999999</v>
      </c>
    </row>
    <row r="196" spans="1:15" x14ac:dyDescent="0.3">
      <c r="A196" s="19"/>
      <c r="B196" s="20">
        <v>0.1875</v>
      </c>
      <c r="C196" s="21">
        <v>39.799999999999997</v>
      </c>
      <c r="D196" s="33">
        <v>33</v>
      </c>
      <c r="E196" s="7">
        <v>26</v>
      </c>
      <c r="F196" s="11">
        <f t="shared" si="21"/>
        <v>6.7999999999999972</v>
      </c>
      <c r="G196" s="23">
        <f t="shared" si="22"/>
        <v>7</v>
      </c>
      <c r="H196" s="24">
        <f t="shared" ref="H196:H259" si="23">(F196/(F196+G196))*100</f>
        <v>49.275362318840571</v>
      </c>
      <c r="I196" s="25">
        <v>2640</v>
      </c>
      <c r="J196" s="26">
        <f t="shared" ref="J196:J259" si="24">C196-D196</f>
        <v>6.7999999999999972</v>
      </c>
      <c r="K196" s="21">
        <f t="shared" ref="K196:K259" si="25">0.00085*1.8*I196*J196</f>
        <v>27.466559999999991</v>
      </c>
      <c r="L196" s="38">
        <v>1.75</v>
      </c>
      <c r="M196" s="30">
        <v>5</v>
      </c>
      <c r="N196" s="16">
        <f t="shared" ref="N196:N259" si="26">K196/M196-1</f>
        <v>4.4933119999999978</v>
      </c>
      <c r="O196" s="13">
        <f t="shared" ref="O196:O259" si="27">K196+L196+N196</f>
        <v>33.70987199999999</v>
      </c>
    </row>
    <row r="197" spans="1:15" s="3" customFormat="1" x14ac:dyDescent="0.3">
      <c r="A197" s="34"/>
      <c r="B197" s="34"/>
      <c r="C197" s="34"/>
      <c r="D197" s="34"/>
      <c r="E197" s="34"/>
      <c r="F197" s="34"/>
      <c r="G197" s="34" t="s">
        <v>8</v>
      </c>
      <c r="H197" s="34">
        <f>AVERAGE(H185:H196)</f>
        <v>48.704364798808747</v>
      </c>
      <c r="I197" s="34"/>
      <c r="J197" s="34"/>
      <c r="K197" s="34">
        <f>AVERAGE(K185:K196)</f>
        <v>28.549430249999997</v>
      </c>
      <c r="L197" s="34"/>
      <c r="M197" s="34"/>
      <c r="N197" s="34">
        <f>AVERAGE(N185:N196)</f>
        <v>4.7098860499999988</v>
      </c>
      <c r="O197" s="34">
        <f>AVERAGE(O185:O196)</f>
        <v>35.009316299999988</v>
      </c>
    </row>
    <row r="198" spans="1:15" x14ac:dyDescent="0.3">
      <c r="A198" s="40">
        <v>44608</v>
      </c>
      <c r="B198" s="20">
        <v>0.27083333333333331</v>
      </c>
      <c r="C198" s="21">
        <v>39.9</v>
      </c>
      <c r="D198" s="33">
        <v>32.9</v>
      </c>
      <c r="E198" s="7">
        <v>26</v>
      </c>
      <c r="F198" s="11">
        <f t="shared" si="21"/>
        <v>7</v>
      </c>
      <c r="G198" s="23">
        <f t="shared" si="22"/>
        <v>6.8999999999999986</v>
      </c>
      <c r="H198" s="24">
        <f t="shared" si="23"/>
        <v>50.359712230215834</v>
      </c>
      <c r="I198" s="25">
        <v>2572</v>
      </c>
      <c r="J198" s="26">
        <f t="shared" si="24"/>
        <v>7</v>
      </c>
      <c r="K198" s="21">
        <f t="shared" si="25"/>
        <v>27.546119999999998</v>
      </c>
      <c r="L198" s="38">
        <v>1.75</v>
      </c>
      <c r="M198" s="30">
        <v>5</v>
      </c>
      <c r="N198" s="16">
        <f t="shared" si="26"/>
        <v>4.5092239999999997</v>
      </c>
      <c r="O198" s="13">
        <f t="shared" si="27"/>
        <v>33.805343999999998</v>
      </c>
    </row>
    <row r="199" spans="1:15" x14ac:dyDescent="0.3">
      <c r="A199" s="41"/>
      <c r="B199" s="20">
        <v>0.35416666666666669</v>
      </c>
      <c r="C199" s="21">
        <v>39.299999999999997</v>
      </c>
      <c r="D199" s="33">
        <v>32.9</v>
      </c>
      <c r="E199" s="7">
        <v>26</v>
      </c>
      <c r="F199" s="11">
        <f t="shared" si="21"/>
        <v>6.3999999999999986</v>
      </c>
      <c r="G199" s="23">
        <f t="shared" si="22"/>
        <v>6.8999999999999986</v>
      </c>
      <c r="H199" s="24">
        <f t="shared" si="23"/>
        <v>48.120300751879697</v>
      </c>
      <c r="I199" s="25">
        <v>2883</v>
      </c>
      <c r="J199" s="26">
        <f t="shared" si="24"/>
        <v>6.3999999999999986</v>
      </c>
      <c r="K199" s="21">
        <f t="shared" si="25"/>
        <v>28.230335999999994</v>
      </c>
      <c r="L199" s="38">
        <v>1.75</v>
      </c>
      <c r="M199" s="30">
        <v>5</v>
      </c>
      <c r="N199" s="16">
        <f t="shared" si="26"/>
        <v>4.6460671999999992</v>
      </c>
      <c r="O199" s="13">
        <f t="shared" si="27"/>
        <v>34.626403199999992</v>
      </c>
    </row>
    <row r="200" spans="1:15" x14ac:dyDescent="0.3">
      <c r="A200" s="41"/>
      <c r="B200" s="20">
        <v>0.4375</v>
      </c>
      <c r="C200" s="21">
        <v>39.9</v>
      </c>
      <c r="D200" s="33">
        <v>33.5</v>
      </c>
      <c r="E200" s="7">
        <v>26</v>
      </c>
      <c r="F200" s="11">
        <f t="shared" si="21"/>
        <v>6.3999999999999986</v>
      </c>
      <c r="G200" s="23">
        <f t="shared" si="22"/>
        <v>7.5</v>
      </c>
      <c r="H200" s="24">
        <f t="shared" si="23"/>
        <v>46.043165467625897</v>
      </c>
      <c r="I200" s="25">
        <v>2886</v>
      </c>
      <c r="J200" s="26">
        <f t="shared" si="24"/>
        <v>6.3999999999999986</v>
      </c>
      <c r="K200" s="21">
        <f t="shared" si="25"/>
        <v>28.25971199999999</v>
      </c>
      <c r="L200" s="38">
        <v>1.75</v>
      </c>
      <c r="M200" s="30">
        <v>5</v>
      </c>
      <c r="N200" s="16">
        <f t="shared" si="26"/>
        <v>4.6519423999999976</v>
      </c>
      <c r="O200" s="13">
        <f t="shared" si="27"/>
        <v>34.661654399999989</v>
      </c>
    </row>
    <row r="201" spans="1:15" x14ac:dyDescent="0.3">
      <c r="A201" s="41"/>
      <c r="B201" s="20">
        <v>0.52083333333333337</v>
      </c>
      <c r="C201" s="21">
        <v>40</v>
      </c>
      <c r="D201" s="33">
        <v>33.700000000000003</v>
      </c>
      <c r="E201" s="7">
        <v>26</v>
      </c>
      <c r="F201" s="11">
        <f t="shared" si="21"/>
        <v>6.2999999999999972</v>
      </c>
      <c r="G201" s="23">
        <f t="shared" si="22"/>
        <v>7.7000000000000028</v>
      </c>
      <c r="H201" s="24">
        <f t="shared" si="23"/>
        <v>44.999999999999979</v>
      </c>
      <c r="I201" s="25">
        <v>2870</v>
      </c>
      <c r="J201" s="26">
        <f t="shared" si="24"/>
        <v>6.2999999999999972</v>
      </c>
      <c r="K201" s="21">
        <f t="shared" si="25"/>
        <v>27.663929999999986</v>
      </c>
      <c r="L201" s="38">
        <v>1.75</v>
      </c>
      <c r="M201" s="30">
        <v>5</v>
      </c>
      <c r="N201" s="16">
        <f t="shared" si="26"/>
        <v>4.5327859999999971</v>
      </c>
      <c r="O201" s="13">
        <f t="shared" si="27"/>
        <v>33.946715999999981</v>
      </c>
    </row>
    <row r="202" spans="1:15" x14ac:dyDescent="0.3">
      <c r="A202" s="41"/>
      <c r="B202" s="20">
        <v>0.60416666666666663</v>
      </c>
      <c r="C202" s="21">
        <v>39.799999999999997</v>
      </c>
      <c r="D202" s="33">
        <v>33</v>
      </c>
      <c r="E202" s="7">
        <v>26</v>
      </c>
      <c r="F202" s="11">
        <f t="shared" si="21"/>
        <v>6.7999999999999972</v>
      </c>
      <c r="G202" s="23">
        <f t="shared" si="22"/>
        <v>7</v>
      </c>
      <c r="H202" s="24">
        <f t="shared" si="23"/>
        <v>49.275362318840571</v>
      </c>
      <c r="I202" s="25">
        <v>2731</v>
      </c>
      <c r="J202" s="26">
        <f t="shared" si="24"/>
        <v>6.7999999999999972</v>
      </c>
      <c r="K202" s="21">
        <f t="shared" si="25"/>
        <v>28.413323999999985</v>
      </c>
      <c r="L202" s="38">
        <v>1.75</v>
      </c>
      <c r="M202" s="30">
        <v>5</v>
      </c>
      <c r="N202" s="16">
        <f t="shared" si="26"/>
        <v>4.6826647999999969</v>
      </c>
      <c r="O202" s="13">
        <f t="shared" si="27"/>
        <v>34.845988799999979</v>
      </c>
    </row>
    <row r="203" spans="1:15" x14ac:dyDescent="0.3">
      <c r="A203" s="41"/>
      <c r="B203" s="20">
        <v>0.6875</v>
      </c>
      <c r="C203" s="21">
        <v>39</v>
      </c>
      <c r="D203" s="33">
        <v>33</v>
      </c>
      <c r="E203" s="7">
        <v>26</v>
      </c>
      <c r="F203" s="11">
        <f t="shared" si="21"/>
        <v>6</v>
      </c>
      <c r="G203" s="23">
        <f t="shared" si="22"/>
        <v>7</v>
      </c>
      <c r="H203" s="24">
        <f t="shared" si="23"/>
        <v>46.153846153846153</v>
      </c>
      <c r="I203" s="25">
        <v>2901</v>
      </c>
      <c r="J203" s="26">
        <f t="shared" si="24"/>
        <v>6</v>
      </c>
      <c r="K203" s="21">
        <f t="shared" si="25"/>
        <v>26.631180000000001</v>
      </c>
      <c r="L203" s="38">
        <v>1.75</v>
      </c>
      <c r="M203" s="30">
        <v>5</v>
      </c>
      <c r="N203" s="16">
        <f t="shared" si="26"/>
        <v>4.3262359999999997</v>
      </c>
      <c r="O203" s="13">
        <f t="shared" si="27"/>
        <v>32.707416000000002</v>
      </c>
    </row>
    <row r="204" spans="1:15" x14ac:dyDescent="0.3">
      <c r="A204" s="41"/>
      <c r="B204" s="20">
        <v>0.77083333333333337</v>
      </c>
      <c r="C204" s="21">
        <v>38.700000000000003</v>
      </c>
      <c r="D204" s="33">
        <v>32</v>
      </c>
      <c r="E204" s="7">
        <v>26</v>
      </c>
      <c r="F204" s="11">
        <f t="shared" si="21"/>
        <v>6.7000000000000028</v>
      </c>
      <c r="G204" s="23">
        <f t="shared" si="22"/>
        <v>6</v>
      </c>
      <c r="H204" s="24">
        <f t="shared" si="23"/>
        <v>52.755905511811029</v>
      </c>
      <c r="I204" s="25">
        <v>2891</v>
      </c>
      <c r="J204" s="26">
        <f t="shared" si="24"/>
        <v>6.7000000000000028</v>
      </c>
      <c r="K204" s="21">
        <f t="shared" si="25"/>
        <v>29.635641000000007</v>
      </c>
      <c r="L204" s="38">
        <v>1.75</v>
      </c>
      <c r="M204" s="30">
        <v>5</v>
      </c>
      <c r="N204" s="16">
        <f t="shared" si="26"/>
        <v>4.9271282000000012</v>
      </c>
      <c r="O204" s="13">
        <f t="shared" si="27"/>
        <v>36.312769200000005</v>
      </c>
    </row>
    <row r="205" spans="1:15" x14ac:dyDescent="0.3">
      <c r="A205" s="41"/>
      <c r="B205" s="20">
        <v>0.85416666666666663</v>
      </c>
      <c r="C205" s="21">
        <v>39.1</v>
      </c>
      <c r="D205" s="33">
        <v>32</v>
      </c>
      <c r="E205" s="7">
        <v>26</v>
      </c>
      <c r="F205" s="11">
        <f t="shared" si="21"/>
        <v>7.1000000000000014</v>
      </c>
      <c r="G205" s="23">
        <f t="shared" si="22"/>
        <v>6</v>
      </c>
      <c r="H205" s="24">
        <f t="shared" si="23"/>
        <v>54.198473282442748</v>
      </c>
      <c r="I205" s="25">
        <v>2981</v>
      </c>
      <c r="J205" s="26">
        <f t="shared" si="24"/>
        <v>7.1000000000000014</v>
      </c>
      <c r="K205" s="21">
        <f t="shared" si="25"/>
        <v>32.382603000000003</v>
      </c>
      <c r="L205" s="38">
        <v>1.75</v>
      </c>
      <c r="M205" s="30">
        <v>5</v>
      </c>
      <c r="N205" s="16">
        <f t="shared" si="26"/>
        <v>5.4765206000000006</v>
      </c>
      <c r="O205" s="13">
        <f t="shared" si="27"/>
        <v>39.609123600000004</v>
      </c>
    </row>
    <row r="206" spans="1:15" x14ac:dyDescent="0.3">
      <c r="A206" s="41"/>
      <c r="B206" s="20">
        <v>0.9375</v>
      </c>
      <c r="C206" s="21">
        <v>38.700000000000003</v>
      </c>
      <c r="D206" s="33">
        <v>32.700000000000003</v>
      </c>
      <c r="E206" s="7">
        <v>26</v>
      </c>
      <c r="F206" s="11">
        <f t="shared" si="21"/>
        <v>6</v>
      </c>
      <c r="G206" s="23">
        <f t="shared" si="22"/>
        <v>6.7000000000000028</v>
      </c>
      <c r="H206" s="24">
        <f t="shared" si="23"/>
        <v>47.244094488188964</v>
      </c>
      <c r="I206" s="25">
        <v>2828</v>
      </c>
      <c r="J206" s="26">
        <f t="shared" si="24"/>
        <v>6</v>
      </c>
      <c r="K206" s="21">
        <f t="shared" si="25"/>
        <v>25.961039999999997</v>
      </c>
      <c r="L206" s="38">
        <v>1.75</v>
      </c>
      <c r="M206" s="30">
        <v>5</v>
      </c>
      <c r="N206" s="16">
        <f t="shared" si="26"/>
        <v>4.192207999999999</v>
      </c>
      <c r="O206" s="13">
        <f t="shared" si="27"/>
        <v>31.903247999999998</v>
      </c>
    </row>
    <row r="207" spans="1:15" x14ac:dyDescent="0.3">
      <c r="A207" s="41"/>
      <c r="B207" s="20">
        <v>2.0833333333333332E-2</v>
      </c>
      <c r="C207" s="21">
        <v>38.9</v>
      </c>
      <c r="D207" s="33">
        <v>33</v>
      </c>
      <c r="E207" s="7">
        <v>26</v>
      </c>
      <c r="F207" s="11">
        <f t="shared" si="21"/>
        <v>5.8999999999999986</v>
      </c>
      <c r="G207" s="23">
        <f t="shared" si="22"/>
        <v>7</v>
      </c>
      <c r="H207" s="24">
        <f t="shared" si="23"/>
        <v>45.736434108527121</v>
      </c>
      <c r="I207" s="25">
        <v>2815</v>
      </c>
      <c r="J207" s="26">
        <f t="shared" si="24"/>
        <v>5.8999999999999986</v>
      </c>
      <c r="K207" s="21">
        <f t="shared" si="25"/>
        <v>25.411004999999992</v>
      </c>
      <c r="L207" s="38">
        <v>1.75</v>
      </c>
      <c r="M207" s="30">
        <v>5</v>
      </c>
      <c r="N207" s="16">
        <f t="shared" si="26"/>
        <v>4.0822009999999986</v>
      </c>
      <c r="O207" s="13">
        <f t="shared" si="27"/>
        <v>31.24320599999999</v>
      </c>
    </row>
    <row r="208" spans="1:15" x14ac:dyDescent="0.3">
      <c r="A208" s="41"/>
      <c r="B208" s="20">
        <v>0.10416666666666667</v>
      </c>
      <c r="C208" s="21">
        <v>39.6</v>
      </c>
      <c r="D208" s="33">
        <v>33.200000000000003</v>
      </c>
      <c r="E208" s="7">
        <v>26</v>
      </c>
      <c r="F208" s="11">
        <f t="shared" si="21"/>
        <v>6.3999999999999986</v>
      </c>
      <c r="G208" s="23">
        <f t="shared" si="22"/>
        <v>7.2000000000000028</v>
      </c>
      <c r="H208" s="24">
        <f t="shared" si="23"/>
        <v>47.058823529411747</v>
      </c>
      <c r="I208" s="25">
        <v>2864</v>
      </c>
      <c r="J208" s="26">
        <f t="shared" si="24"/>
        <v>6.3999999999999986</v>
      </c>
      <c r="K208" s="21">
        <f t="shared" si="25"/>
        <v>28.044287999999995</v>
      </c>
      <c r="L208" s="38">
        <v>1.75</v>
      </c>
      <c r="M208" s="30">
        <v>5</v>
      </c>
      <c r="N208" s="16">
        <f t="shared" si="26"/>
        <v>4.6088575999999986</v>
      </c>
      <c r="O208" s="13">
        <f t="shared" si="27"/>
        <v>34.403145599999995</v>
      </c>
    </row>
    <row r="209" spans="1:15" x14ac:dyDescent="0.3">
      <c r="A209" s="41"/>
      <c r="B209" s="20">
        <v>0.1875</v>
      </c>
      <c r="C209" s="21">
        <v>39.4</v>
      </c>
      <c r="D209" s="33">
        <v>33.200000000000003</v>
      </c>
      <c r="E209" s="7">
        <v>26</v>
      </c>
      <c r="F209" s="11">
        <f t="shared" si="21"/>
        <v>6.1999999999999957</v>
      </c>
      <c r="G209" s="23">
        <f t="shared" si="22"/>
        <v>7.2000000000000028</v>
      </c>
      <c r="H209" s="24">
        <f t="shared" si="23"/>
        <v>46.26865671641788</v>
      </c>
      <c r="I209" s="25">
        <v>2771</v>
      </c>
      <c r="J209" s="26">
        <f t="shared" si="24"/>
        <v>6.1999999999999957</v>
      </c>
      <c r="K209" s="21">
        <f t="shared" si="25"/>
        <v>26.285705999999983</v>
      </c>
      <c r="L209" s="38">
        <v>1.75</v>
      </c>
      <c r="M209" s="30">
        <v>5</v>
      </c>
      <c r="N209" s="16">
        <f t="shared" si="26"/>
        <v>4.2571411999999969</v>
      </c>
      <c r="O209" s="13">
        <f t="shared" si="27"/>
        <v>32.292847199999983</v>
      </c>
    </row>
    <row r="210" spans="1:15" s="3" customFormat="1" x14ac:dyDescent="0.3">
      <c r="A210" s="34"/>
      <c r="B210" s="34"/>
      <c r="C210" s="34"/>
      <c r="D210" s="34"/>
      <c r="E210" s="34"/>
      <c r="F210" s="34"/>
      <c r="G210" s="34" t="s">
        <v>8</v>
      </c>
      <c r="H210" s="34">
        <f>AVERAGE(H198:H209)</f>
        <v>48.184564546600633</v>
      </c>
      <c r="I210" s="34"/>
      <c r="J210" s="34"/>
      <c r="K210" s="34">
        <f>AVERAGE(K198:K209)</f>
        <v>27.872073749999998</v>
      </c>
      <c r="L210" s="34"/>
      <c r="M210" s="34"/>
      <c r="N210" s="34">
        <f>AVERAGE(N198:N209)</f>
        <v>4.574414749999999</v>
      </c>
      <c r="O210" s="34">
        <f>AVERAGE(O198:O209)</f>
        <v>34.196488500000001</v>
      </c>
    </row>
    <row r="211" spans="1:15" x14ac:dyDescent="0.3">
      <c r="A211" s="19">
        <v>44609</v>
      </c>
      <c r="B211" s="20">
        <v>0.27083333333333331</v>
      </c>
      <c r="C211" s="21">
        <v>40.4</v>
      </c>
      <c r="D211" s="33">
        <v>33.700000000000003</v>
      </c>
      <c r="E211" s="7">
        <v>26</v>
      </c>
      <c r="F211" s="11">
        <f t="shared" si="21"/>
        <v>6.6999999999999957</v>
      </c>
      <c r="G211" s="23">
        <f t="shared" si="22"/>
        <v>7.7000000000000028</v>
      </c>
      <c r="H211" s="24">
        <f t="shared" si="23"/>
        <v>46.52777777777775</v>
      </c>
      <c r="I211" s="25">
        <v>2864</v>
      </c>
      <c r="J211" s="26">
        <f t="shared" si="24"/>
        <v>6.6999999999999957</v>
      </c>
      <c r="K211" s="21">
        <f t="shared" si="25"/>
        <v>29.358863999999983</v>
      </c>
      <c r="L211" s="38">
        <v>1.75</v>
      </c>
      <c r="M211" s="30">
        <v>5</v>
      </c>
      <c r="N211" s="16">
        <f t="shared" si="26"/>
        <v>4.8717727999999969</v>
      </c>
      <c r="O211" s="13">
        <f t="shared" si="27"/>
        <v>35.980636799999978</v>
      </c>
    </row>
    <row r="212" spans="1:15" x14ac:dyDescent="0.3">
      <c r="A212" s="19"/>
      <c r="B212" s="20">
        <v>0.35416666666666669</v>
      </c>
      <c r="C212" s="21">
        <v>40.700000000000003</v>
      </c>
      <c r="D212" s="33">
        <v>33.9</v>
      </c>
      <c r="E212" s="7">
        <v>26</v>
      </c>
      <c r="F212" s="11">
        <f t="shared" si="21"/>
        <v>6.8000000000000043</v>
      </c>
      <c r="G212" s="23">
        <f t="shared" si="22"/>
        <v>7.8999999999999986</v>
      </c>
      <c r="H212" s="24">
        <f t="shared" si="23"/>
        <v>46.258503401360564</v>
      </c>
      <c r="I212" s="25">
        <v>2878</v>
      </c>
      <c r="J212" s="26">
        <f t="shared" si="24"/>
        <v>6.8000000000000043</v>
      </c>
      <c r="K212" s="21">
        <f t="shared" si="25"/>
        <v>29.942712000000018</v>
      </c>
      <c r="L212" s="38">
        <v>1.75</v>
      </c>
      <c r="M212" s="30">
        <v>5</v>
      </c>
      <c r="N212" s="16">
        <f t="shared" si="26"/>
        <v>4.9885424000000036</v>
      </c>
      <c r="O212" s="13">
        <f t="shared" si="27"/>
        <v>36.681254400000022</v>
      </c>
    </row>
    <row r="213" spans="1:15" x14ac:dyDescent="0.3">
      <c r="A213" s="19"/>
      <c r="B213" s="20">
        <v>0.4375</v>
      </c>
      <c r="C213" s="21">
        <v>41</v>
      </c>
      <c r="D213" s="33">
        <v>34.4</v>
      </c>
      <c r="E213" s="7">
        <v>26</v>
      </c>
      <c r="F213" s="11">
        <f t="shared" si="21"/>
        <v>6.6000000000000014</v>
      </c>
      <c r="G213" s="23">
        <f t="shared" si="22"/>
        <v>8.3999999999999986</v>
      </c>
      <c r="H213" s="24">
        <f t="shared" si="23"/>
        <v>44.000000000000014</v>
      </c>
      <c r="I213" s="25">
        <v>2844</v>
      </c>
      <c r="J213" s="26">
        <f t="shared" si="24"/>
        <v>6.6000000000000014</v>
      </c>
      <c r="K213" s="21">
        <f t="shared" si="25"/>
        <v>28.718712000000004</v>
      </c>
      <c r="L213" s="38">
        <v>1.75</v>
      </c>
      <c r="M213" s="30">
        <v>5</v>
      </c>
      <c r="N213" s="16">
        <f t="shared" si="26"/>
        <v>4.7437424000000004</v>
      </c>
      <c r="O213" s="13">
        <f t="shared" si="27"/>
        <v>35.212454400000006</v>
      </c>
    </row>
    <row r="214" spans="1:15" x14ac:dyDescent="0.3">
      <c r="A214" s="19"/>
      <c r="B214" s="20">
        <v>0.52083333333333337</v>
      </c>
      <c r="C214" s="21">
        <v>40.799999999999997</v>
      </c>
      <c r="D214" s="33">
        <v>34.1</v>
      </c>
      <c r="E214" s="7">
        <v>26</v>
      </c>
      <c r="F214" s="11">
        <f t="shared" si="21"/>
        <v>6.6999999999999957</v>
      </c>
      <c r="G214" s="23">
        <f t="shared" si="22"/>
        <v>8.1000000000000014</v>
      </c>
      <c r="H214" s="24">
        <f t="shared" si="23"/>
        <v>45.270270270270252</v>
      </c>
      <c r="I214" s="25">
        <v>2896</v>
      </c>
      <c r="J214" s="26">
        <f t="shared" si="24"/>
        <v>6.6999999999999957</v>
      </c>
      <c r="K214" s="21">
        <f t="shared" si="25"/>
        <v>29.686895999999976</v>
      </c>
      <c r="L214" s="38">
        <v>1.75</v>
      </c>
      <c r="M214" s="30">
        <v>5</v>
      </c>
      <c r="N214" s="16">
        <f t="shared" si="26"/>
        <v>4.9373791999999952</v>
      </c>
      <c r="O214" s="13">
        <f t="shared" si="27"/>
        <v>36.374275199999971</v>
      </c>
    </row>
    <row r="215" spans="1:15" x14ac:dyDescent="0.3">
      <c r="A215" s="19"/>
      <c r="B215" s="20">
        <v>0.60416666666666663</v>
      </c>
      <c r="C215" s="21">
        <v>40.5</v>
      </c>
      <c r="D215" s="33">
        <v>33.9</v>
      </c>
      <c r="E215" s="7">
        <v>26</v>
      </c>
      <c r="F215" s="11">
        <f t="shared" si="21"/>
        <v>6.6000000000000014</v>
      </c>
      <c r="G215" s="23">
        <f t="shared" si="22"/>
        <v>7.8999999999999986</v>
      </c>
      <c r="H215" s="24">
        <f t="shared" si="23"/>
        <v>45.517241379310356</v>
      </c>
      <c r="I215" s="25">
        <v>2912</v>
      </c>
      <c r="J215" s="26">
        <f t="shared" si="24"/>
        <v>6.6000000000000014</v>
      </c>
      <c r="K215" s="21">
        <f t="shared" si="25"/>
        <v>29.405376000000004</v>
      </c>
      <c r="L215" s="38">
        <v>1.75</v>
      </c>
      <c r="M215" s="30">
        <v>5</v>
      </c>
      <c r="N215" s="16">
        <f t="shared" si="26"/>
        <v>4.8810752000000006</v>
      </c>
      <c r="O215" s="13">
        <f t="shared" si="27"/>
        <v>36.036451200000002</v>
      </c>
    </row>
    <row r="216" spans="1:15" x14ac:dyDescent="0.3">
      <c r="A216" s="19"/>
      <c r="B216" s="20">
        <v>0.6875</v>
      </c>
      <c r="C216" s="21">
        <v>40.1</v>
      </c>
      <c r="D216" s="33">
        <v>33.5</v>
      </c>
      <c r="E216" s="7">
        <v>26</v>
      </c>
      <c r="F216" s="11">
        <f t="shared" si="21"/>
        <v>6.6000000000000014</v>
      </c>
      <c r="G216" s="23">
        <f t="shared" si="22"/>
        <v>7.5</v>
      </c>
      <c r="H216" s="24">
        <f t="shared" si="23"/>
        <v>46.808510638297882</v>
      </c>
      <c r="I216" s="25">
        <v>2769</v>
      </c>
      <c r="J216" s="26">
        <f t="shared" si="24"/>
        <v>6.6000000000000014</v>
      </c>
      <c r="K216" s="21">
        <f t="shared" si="25"/>
        <v>27.961362000000001</v>
      </c>
      <c r="L216" s="38">
        <v>1.75</v>
      </c>
      <c r="M216" s="30">
        <v>5</v>
      </c>
      <c r="N216" s="16">
        <f t="shared" si="26"/>
        <v>4.5922724000000006</v>
      </c>
      <c r="O216" s="13">
        <f t="shared" si="27"/>
        <v>34.3036344</v>
      </c>
    </row>
    <row r="217" spans="1:15" x14ac:dyDescent="0.3">
      <c r="A217" s="19"/>
      <c r="B217" s="20">
        <v>0.77083333333333337</v>
      </c>
      <c r="C217" s="21">
        <v>39.1</v>
      </c>
      <c r="D217" s="33">
        <v>33.1</v>
      </c>
      <c r="E217" s="7">
        <v>26</v>
      </c>
      <c r="F217" s="11">
        <f t="shared" si="21"/>
        <v>6</v>
      </c>
      <c r="G217" s="23">
        <f t="shared" si="22"/>
        <v>7.1000000000000014</v>
      </c>
      <c r="H217" s="24">
        <f t="shared" si="23"/>
        <v>45.801526717557245</v>
      </c>
      <c r="I217" s="25">
        <v>2918</v>
      </c>
      <c r="J217" s="26">
        <f t="shared" si="24"/>
        <v>6</v>
      </c>
      <c r="K217" s="21">
        <f t="shared" si="25"/>
        <v>26.787239999999997</v>
      </c>
      <c r="L217" s="38">
        <v>1.75</v>
      </c>
      <c r="M217" s="30">
        <v>5</v>
      </c>
      <c r="N217" s="16">
        <f t="shared" si="26"/>
        <v>4.3574479999999998</v>
      </c>
      <c r="O217" s="13">
        <f t="shared" si="27"/>
        <v>32.894687999999995</v>
      </c>
    </row>
    <row r="218" spans="1:15" x14ac:dyDescent="0.3">
      <c r="A218" s="19"/>
      <c r="B218" s="20">
        <v>0.85416666666666663</v>
      </c>
      <c r="C218" s="21">
        <v>40.1</v>
      </c>
      <c r="D218" s="33">
        <v>33.5</v>
      </c>
      <c r="E218" s="7">
        <v>26</v>
      </c>
      <c r="F218" s="11">
        <f t="shared" si="21"/>
        <v>6.6000000000000014</v>
      </c>
      <c r="G218" s="23">
        <f t="shared" si="22"/>
        <v>7.5</v>
      </c>
      <c r="H218" s="24">
        <f t="shared" si="23"/>
        <v>46.808510638297882</v>
      </c>
      <c r="I218" s="25">
        <v>2890</v>
      </c>
      <c r="J218" s="26">
        <f t="shared" si="24"/>
        <v>6.6000000000000014</v>
      </c>
      <c r="K218" s="21">
        <f t="shared" si="25"/>
        <v>29.183220000000002</v>
      </c>
      <c r="L218" s="38">
        <v>1.75</v>
      </c>
      <c r="M218" s="30">
        <v>5</v>
      </c>
      <c r="N218" s="16">
        <f t="shared" si="26"/>
        <v>4.8366440000000006</v>
      </c>
      <c r="O218" s="13">
        <f t="shared" si="27"/>
        <v>35.769864000000005</v>
      </c>
    </row>
    <row r="219" spans="1:15" x14ac:dyDescent="0.3">
      <c r="A219" s="19"/>
      <c r="B219" s="20">
        <v>0.9375</v>
      </c>
      <c r="C219" s="21">
        <v>40.299999999999997</v>
      </c>
      <c r="D219" s="33">
        <v>33.700000000000003</v>
      </c>
      <c r="E219" s="7">
        <v>26</v>
      </c>
      <c r="F219" s="11">
        <f t="shared" si="21"/>
        <v>6.5999999999999943</v>
      </c>
      <c r="G219" s="23">
        <f t="shared" si="22"/>
        <v>7.7000000000000028</v>
      </c>
      <c r="H219" s="24">
        <f t="shared" si="23"/>
        <v>46.153846153846125</v>
      </c>
      <c r="I219" s="25">
        <v>2888</v>
      </c>
      <c r="J219" s="26">
        <f t="shared" si="24"/>
        <v>6.5999999999999943</v>
      </c>
      <c r="K219" s="21">
        <f t="shared" si="25"/>
        <v>29.163023999999975</v>
      </c>
      <c r="L219" s="38">
        <v>1.75</v>
      </c>
      <c r="M219" s="30">
        <v>5</v>
      </c>
      <c r="N219" s="16">
        <f t="shared" si="26"/>
        <v>4.832604799999995</v>
      </c>
      <c r="O219" s="13">
        <f t="shared" si="27"/>
        <v>35.74562879999997</v>
      </c>
    </row>
    <row r="220" spans="1:15" x14ac:dyDescent="0.3">
      <c r="A220" s="19"/>
      <c r="B220" s="20">
        <v>2.0833333333333332E-2</v>
      </c>
      <c r="C220" s="21">
        <v>40.299999999999997</v>
      </c>
      <c r="D220" s="33">
        <v>33.799999999999997</v>
      </c>
      <c r="E220" s="7">
        <v>26</v>
      </c>
      <c r="F220" s="11">
        <f t="shared" si="21"/>
        <v>6.5</v>
      </c>
      <c r="G220" s="23">
        <f t="shared" si="22"/>
        <v>7.7999999999999972</v>
      </c>
      <c r="H220" s="24">
        <f t="shared" si="23"/>
        <v>45.454545454545467</v>
      </c>
      <c r="I220" s="25">
        <v>2871</v>
      </c>
      <c r="J220" s="26">
        <f t="shared" si="24"/>
        <v>6.5</v>
      </c>
      <c r="K220" s="21">
        <f t="shared" si="25"/>
        <v>28.552094999999998</v>
      </c>
      <c r="L220" s="38">
        <v>1.75</v>
      </c>
      <c r="M220" s="30">
        <v>5</v>
      </c>
      <c r="N220" s="16">
        <f t="shared" si="26"/>
        <v>4.7104189999999999</v>
      </c>
      <c r="O220" s="13">
        <f t="shared" si="27"/>
        <v>35.012513999999996</v>
      </c>
    </row>
    <row r="221" spans="1:15" x14ac:dyDescent="0.3">
      <c r="A221" s="19"/>
      <c r="B221" s="20">
        <v>0.10416666666666667</v>
      </c>
      <c r="C221" s="21">
        <v>40.4</v>
      </c>
      <c r="D221" s="33">
        <v>33.9</v>
      </c>
      <c r="E221" s="7">
        <v>26</v>
      </c>
      <c r="F221" s="11">
        <f t="shared" si="21"/>
        <v>6.5</v>
      </c>
      <c r="G221" s="23">
        <f t="shared" si="22"/>
        <v>7.8999999999999986</v>
      </c>
      <c r="H221" s="24">
        <f t="shared" si="23"/>
        <v>45.138888888888893</v>
      </c>
      <c r="I221" s="25">
        <v>2957</v>
      </c>
      <c r="J221" s="26">
        <f t="shared" si="24"/>
        <v>6.5</v>
      </c>
      <c r="K221" s="21">
        <f t="shared" si="25"/>
        <v>29.407364999999999</v>
      </c>
      <c r="L221" s="38">
        <v>1.75</v>
      </c>
      <c r="M221" s="30">
        <v>5</v>
      </c>
      <c r="N221" s="16">
        <f t="shared" si="26"/>
        <v>4.8814729999999997</v>
      </c>
      <c r="O221" s="13">
        <f t="shared" si="27"/>
        <v>36.038837999999998</v>
      </c>
    </row>
    <row r="222" spans="1:15" x14ac:dyDescent="0.3">
      <c r="A222" s="19"/>
      <c r="B222" s="20">
        <v>0.1875</v>
      </c>
      <c r="C222" s="21">
        <v>39.5</v>
      </c>
      <c r="D222" s="33">
        <v>33.4</v>
      </c>
      <c r="E222" s="7">
        <v>26</v>
      </c>
      <c r="F222" s="11">
        <f t="shared" si="21"/>
        <v>6.1000000000000014</v>
      </c>
      <c r="G222" s="23">
        <f t="shared" si="22"/>
        <v>7.3999999999999986</v>
      </c>
      <c r="H222" s="24">
        <f t="shared" si="23"/>
        <v>45.185185185185198</v>
      </c>
      <c r="I222" s="25">
        <v>2860</v>
      </c>
      <c r="J222" s="26">
        <f t="shared" si="24"/>
        <v>6.1000000000000014</v>
      </c>
      <c r="K222" s="21">
        <f t="shared" si="25"/>
        <v>26.692380000000007</v>
      </c>
      <c r="L222" s="38">
        <v>1.75</v>
      </c>
      <c r="M222" s="30">
        <v>5</v>
      </c>
      <c r="N222" s="16">
        <f t="shared" si="26"/>
        <v>4.3384760000000018</v>
      </c>
      <c r="O222" s="13">
        <f t="shared" si="27"/>
        <v>32.780856000000007</v>
      </c>
    </row>
    <row r="223" spans="1:15" s="3" customFormat="1" x14ac:dyDescent="0.3">
      <c r="A223" s="34"/>
      <c r="B223" s="34"/>
      <c r="C223" s="34"/>
      <c r="D223" s="34"/>
      <c r="E223" s="34"/>
      <c r="F223" s="34"/>
      <c r="G223" s="34" t="s">
        <v>8</v>
      </c>
      <c r="H223" s="34">
        <f>AVERAGE(H211:H222)</f>
        <v>45.743733875444804</v>
      </c>
      <c r="I223" s="34"/>
      <c r="J223" s="34"/>
      <c r="K223" s="34">
        <f>AVERAGE(K211:K222)</f>
        <v>28.738270499999995</v>
      </c>
      <c r="L223" s="34"/>
      <c r="M223" s="34"/>
      <c r="N223" s="34">
        <f>AVERAGE(N211:N222)</f>
        <v>4.7476540999999992</v>
      </c>
      <c r="O223" s="34">
        <f>AVERAGE(O211:O222)</f>
        <v>35.235924599999997</v>
      </c>
    </row>
    <row r="224" spans="1:15" x14ac:dyDescent="0.3">
      <c r="A224" s="40">
        <v>44610</v>
      </c>
      <c r="B224" s="20">
        <v>0.27083333333333331</v>
      </c>
      <c r="C224" s="21">
        <v>39.1</v>
      </c>
      <c r="D224" s="33">
        <v>33.1</v>
      </c>
      <c r="E224" s="7">
        <v>26</v>
      </c>
      <c r="F224" s="11">
        <f t="shared" si="21"/>
        <v>6</v>
      </c>
      <c r="G224" s="23">
        <f t="shared" si="22"/>
        <v>7.1000000000000014</v>
      </c>
      <c r="H224" s="24">
        <f t="shared" si="23"/>
        <v>45.801526717557245</v>
      </c>
      <c r="I224" s="25">
        <v>2815</v>
      </c>
      <c r="J224" s="26">
        <f t="shared" si="24"/>
        <v>6</v>
      </c>
      <c r="K224" s="21">
        <f t="shared" si="25"/>
        <v>25.841699999999996</v>
      </c>
      <c r="L224" s="38">
        <v>1.75</v>
      </c>
      <c r="M224" s="30">
        <v>5</v>
      </c>
      <c r="N224" s="16">
        <f t="shared" si="26"/>
        <v>4.1683399999999988</v>
      </c>
      <c r="O224" s="13">
        <f t="shared" si="27"/>
        <v>31.760039999999996</v>
      </c>
    </row>
    <row r="225" spans="1:15" x14ac:dyDescent="0.3">
      <c r="A225" s="41"/>
      <c r="B225" s="20">
        <v>0.35416666666666669</v>
      </c>
      <c r="C225" s="21">
        <v>39.4</v>
      </c>
      <c r="D225" s="33">
        <v>33.1</v>
      </c>
      <c r="E225" s="7">
        <v>26</v>
      </c>
      <c r="F225" s="11">
        <f t="shared" si="21"/>
        <v>6.2999999999999972</v>
      </c>
      <c r="G225" s="23">
        <f t="shared" si="22"/>
        <v>7.1000000000000014</v>
      </c>
      <c r="H225" s="24">
        <f t="shared" si="23"/>
        <v>47.014925373134311</v>
      </c>
      <c r="I225" s="25">
        <v>2899</v>
      </c>
      <c r="J225" s="26">
        <f t="shared" si="24"/>
        <v>6.2999999999999972</v>
      </c>
      <c r="K225" s="21">
        <f t="shared" si="25"/>
        <v>27.943460999999985</v>
      </c>
      <c r="L225" s="38">
        <v>1.75</v>
      </c>
      <c r="M225" s="30">
        <v>5</v>
      </c>
      <c r="N225" s="16">
        <f t="shared" si="26"/>
        <v>4.588692199999997</v>
      </c>
      <c r="O225" s="13">
        <f t="shared" si="27"/>
        <v>34.282153199999982</v>
      </c>
    </row>
    <row r="226" spans="1:15" x14ac:dyDescent="0.3">
      <c r="A226" s="41"/>
      <c r="B226" s="20">
        <v>0.4375</v>
      </c>
      <c r="C226" s="21">
        <v>39.9</v>
      </c>
      <c r="D226" s="33">
        <v>33.5</v>
      </c>
      <c r="E226" s="7">
        <v>26</v>
      </c>
      <c r="F226" s="11">
        <f t="shared" si="21"/>
        <v>6.3999999999999986</v>
      </c>
      <c r="G226" s="23">
        <f t="shared" si="22"/>
        <v>7.5</v>
      </c>
      <c r="H226" s="24">
        <f t="shared" si="23"/>
        <v>46.043165467625897</v>
      </c>
      <c r="I226" s="25">
        <v>2893</v>
      </c>
      <c r="J226" s="26">
        <f t="shared" si="24"/>
        <v>6.3999999999999986</v>
      </c>
      <c r="K226" s="21">
        <f t="shared" si="25"/>
        <v>28.328255999999993</v>
      </c>
      <c r="L226" s="38">
        <v>1.75</v>
      </c>
      <c r="M226" s="30">
        <v>5</v>
      </c>
      <c r="N226" s="16">
        <f t="shared" si="26"/>
        <v>4.6656511999999983</v>
      </c>
      <c r="O226" s="13">
        <f t="shared" si="27"/>
        <v>34.743907199999988</v>
      </c>
    </row>
    <row r="227" spans="1:15" x14ac:dyDescent="0.3">
      <c r="A227" s="41"/>
      <c r="B227" s="20">
        <v>0.52083333333333337</v>
      </c>
      <c r="C227" s="21">
        <v>39.6</v>
      </c>
      <c r="D227" s="33">
        <v>33.4</v>
      </c>
      <c r="E227" s="7">
        <v>26</v>
      </c>
      <c r="F227" s="11">
        <f t="shared" si="21"/>
        <v>6.2000000000000028</v>
      </c>
      <c r="G227" s="23">
        <f t="shared" si="22"/>
        <v>7.3999999999999986</v>
      </c>
      <c r="H227" s="24">
        <f t="shared" si="23"/>
        <v>45.588235294117666</v>
      </c>
      <c r="I227" s="25">
        <v>2906</v>
      </c>
      <c r="J227" s="26">
        <f t="shared" si="24"/>
        <v>6.2000000000000028</v>
      </c>
      <c r="K227" s="21">
        <f t="shared" si="25"/>
        <v>27.566316000000011</v>
      </c>
      <c r="L227" s="38">
        <v>1.75</v>
      </c>
      <c r="M227" s="30">
        <v>5</v>
      </c>
      <c r="N227" s="16">
        <f t="shared" si="26"/>
        <v>4.5132632000000026</v>
      </c>
      <c r="O227" s="13">
        <f t="shared" si="27"/>
        <v>33.829579200000012</v>
      </c>
    </row>
    <row r="228" spans="1:15" x14ac:dyDescent="0.3">
      <c r="A228" s="41"/>
      <c r="B228" s="20">
        <v>0.60416666666666663</v>
      </c>
      <c r="C228" s="21">
        <v>39.799999999999997</v>
      </c>
      <c r="D228" s="33">
        <v>33.6</v>
      </c>
      <c r="E228" s="7">
        <v>26</v>
      </c>
      <c r="F228" s="11">
        <f t="shared" si="21"/>
        <v>6.1999999999999957</v>
      </c>
      <c r="G228" s="23">
        <f t="shared" si="22"/>
        <v>7.6000000000000014</v>
      </c>
      <c r="H228" s="24">
        <f t="shared" si="23"/>
        <v>44.927536231884034</v>
      </c>
      <c r="I228" s="25">
        <v>2901</v>
      </c>
      <c r="J228" s="26">
        <f t="shared" si="24"/>
        <v>6.1999999999999957</v>
      </c>
      <c r="K228" s="21">
        <f t="shared" si="25"/>
        <v>27.518885999999981</v>
      </c>
      <c r="L228" s="38">
        <v>1.75</v>
      </c>
      <c r="M228" s="30">
        <v>5</v>
      </c>
      <c r="N228" s="16">
        <f t="shared" si="26"/>
        <v>4.5037771999999965</v>
      </c>
      <c r="O228" s="13">
        <f t="shared" si="27"/>
        <v>33.772663199999975</v>
      </c>
    </row>
    <row r="229" spans="1:15" x14ac:dyDescent="0.3">
      <c r="A229" s="41"/>
      <c r="B229" s="20">
        <v>0.6875</v>
      </c>
      <c r="C229" s="21">
        <v>40</v>
      </c>
      <c r="D229" s="33">
        <v>33.700000000000003</v>
      </c>
      <c r="E229" s="7">
        <v>26</v>
      </c>
      <c r="F229" s="11">
        <f t="shared" si="21"/>
        <v>6.2999999999999972</v>
      </c>
      <c r="G229" s="23">
        <f t="shared" si="22"/>
        <v>7.7000000000000028</v>
      </c>
      <c r="H229" s="24">
        <f t="shared" si="23"/>
        <v>44.999999999999979</v>
      </c>
      <c r="I229" s="25">
        <v>2920</v>
      </c>
      <c r="J229" s="26">
        <f t="shared" si="24"/>
        <v>6.2999999999999972</v>
      </c>
      <c r="K229" s="21">
        <f t="shared" si="25"/>
        <v>28.145879999999988</v>
      </c>
      <c r="L229" s="38">
        <v>1.75</v>
      </c>
      <c r="M229" s="30">
        <v>5</v>
      </c>
      <c r="N229" s="16">
        <f t="shared" si="26"/>
        <v>4.6291759999999975</v>
      </c>
      <c r="O229" s="13">
        <f t="shared" si="27"/>
        <v>34.525055999999985</v>
      </c>
    </row>
    <row r="230" spans="1:15" x14ac:dyDescent="0.3">
      <c r="A230" s="41"/>
      <c r="B230" s="20">
        <v>0.77083333333333337</v>
      </c>
      <c r="C230" s="21">
        <v>39.6</v>
      </c>
      <c r="D230" s="33">
        <v>33.299999999999997</v>
      </c>
      <c r="E230" s="7">
        <v>26</v>
      </c>
      <c r="F230" s="11">
        <f t="shared" si="21"/>
        <v>6.3000000000000043</v>
      </c>
      <c r="G230" s="23">
        <f t="shared" si="22"/>
        <v>7.2999999999999972</v>
      </c>
      <c r="H230" s="24">
        <f t="shared" si="23"/>
        <v>46.323529411764731</v>
      </c>
      <c r="I230" s="25">
        <v>2849</v>
      </c>
      <c r="J230" s="26">
        <f t="shared" si="24"/>
        <v>6.3000000000000043</v>
      </c>
      <c r="K230" s="21">
        <f t="shared" si="25"/>
        <v>27.461511000000016</v>
      </c>
      <c r="L230" s="38">
        <v>1.75</v>
      </c>
      <c r="M230" s="30">
        <v>5</v>
      </c>
      <c r="N230" s="16">
        <f t="shared" si="26"/>
        <v>4.4923022000000028</v>
      </c>
      <c r="O230" s="13">
        <f t="shared" si="27"/>
        <v>33.70381320000002</v>
      </c>
    </row>
    <row r="231" spans="1:15" x14ac:dyDescent="0.3">
      <c r="A231" s="41"/>
      <c r="B231" s="20">
        <v>0.85416666666666663</v>
      </c>
      <c r="C231" s="21">
        <v>39.700000000000003</v>
      </c>
      <c r="D231" s="33">
        <v>33.6</v>
      </c>
      <c r="E231" s="7">
        <v>26</v>
      </c>
      <c r="F231" s="11">
        <f t="shared" si="21"/>
        <v>6.1000000000000014</v>
      </c>
      <c r="G231" s="23">
        <f t="shared" si="22"/>
        <v>7.6000000000000014</v>
      </c>
      <c r="H231" s="24">
        <f t="shared" si="23"/>
        <v>44.525547445255476</v>
      </c>
      <c r="I231" s="25">
        <v>2962</v>
      </c>
      <c r="J231" s="26">
        <f t="shared" si="24"/>
        <v>6.1000000000000014</v>
      </c>
      <c r="K231" s="21">
        <f t="shared" si="25"/>
        <v>27.644346000000006</v>
      </c>
      <c r="L231" s="38">
        <v>1.75</v>
      </c>
      <c r="M231" s="30">
        <v>5</v>
      </c>
      <c r="N231" s="16">
        <f t="shared" si="26"/>
        <v>4.5288692000000008</v>
      </c>
      <c r="O231" s="13">
        <f t="shared" si="27"/>
        <v>33.923215200000008</v>
      </c>
    </row>
    <row r="232" spans="1:15" x14ac:dyDescent="0.3">
      <c r="A232" s="41"/>
      <c r="B232" s="20">
        <v>0.9375</v>
      </c>
      <c r="C232" s="21">
        <v>39.1</v>
      </c>
      <c r="D232" s="33">
        <v>33</v>
      </c>
      <c r="E232" s="7">
        <v>26</v>
      </c>
      <c r="F232" s="11">
        <f t="shared" si="21"/>
        <v>6.1000000000000014</v>
      </c>
      <c r="G232" s="23">
        <f t="shared" si="22"/>
        <v>7</v>
      </c>
      <c r="H232" s="24">
        <f t="shared" si="23"/>
        <v>46.564885496183209</v>
      </c>
      <c r="I232" s="25">
        <v>2961</v>
      </c>
      <c r="J232" s="26">
        <f t="shared" si="24"/>
        <v>6.1000000000000014</v>
      </c>
      <c r="K232" s="21">
        <f t="shared" si="25"/>
        <v>27.635013000000001</v>
      </c>
      <c r="L232" s="38">
        <v>1.75</v>
      </c>
      <c r="M232" s="30">
        <v>5</v>
      </c>
      <c r="N232" s="16">
        <f t="shared" si="26"/>
        <v>4.5270026000000003</v>
      </c>
      <c r="O232" s="13">
        <f t="shared" si="27"/>
        <v>33.912015600000004</v>
      </c>
    </row>
    <row r="233" spans="1:15" x14ac:dyDescent="0.3">
      <c r="A233" s="41"/>
      <c r="B233" s="20">
        <v>2.0833333333333332E-2</v>
      </c>
      <c r="C233" s="21">
        <v>39.9</v>
      </c>
      <c r="D233" s="33">
        <v>33</v>
      </c>
      <c r="E233" s="7">
        <v>26</v>
      </c>
      <c r="F233" s="11">
        <f t="shared" si="21"/>
        <v>6.8999999999999986</v>
      </c>
      <c r="G233" s="23">
        <f t="shared" si="22"/>
        <v>7</v>
      </c>
      <c r="H233" s="24">
        <f t="shared" si="23"/>
        <v>49.640287769784166</v>
      </c>
      <c r="I233" s="25">
        <v>2961</v>
      </c>
      <c r="J233" s="26">
        <f t="shared" si="24"/>
        <v>6.8999999999999986</v>
      </c>
      <c r="K233" s="21">
        <f t="shared" si="25"/>
        <v>31.25927699999999</v>
      </c>
      <c r="L233" s="38">
        <v>1.75</v>
      </c>
      <c r="M233" s="30">
        <v>5</v>
      </c>
      <c r="N233" s="16">
        <f t="shared" si="26"/>
        <v>5.2518553999999984</v>
      </c>
      <c r="O233" s="13">
        <f t="shared" si="27"/>
        <v>38.261132399999987</v>
      </c>
    </row>
    <row r="234" spans="1:15" x14ac:dyDescent="0.3">
      <c r="A234" s="41"/>
      <c r="B234" s="20">
        <v>0.10416666666666667</v>
      </c>
      <c r="C234" s="21">
        <v>39.1</v>
      </c>
      <c r="D234" s="33">
        <v>33</v>
      </c>
      <c r="E234" s="7">
        <v>26</v>
      </c>
      <c r="F234" s="11">
        <f t="shared" si="21"/>
        <v>6.1000000000000014</v>
      </c>
      <c r="G234" s="23">
        <f t="shared" si="22"/>
        <v>7</v>
      </c>
      <c r="H234" s="24">
        <f t="shared" si="23"/>
        <v>46.564885496183209</v>
      </c>
      <c r="I234" s="25">
        <v>2811</v>
      </c>
      <c r="J234" s="26">
        <f t="shared" si="24"/>
        <v>6.1000000000000014</v>
      </c>
      <c r="K234" s="21">
        <f t="shared" si="25"/>
        <v>26.235063000000004</v>
      </c>
      <c r="L234" s="38">
        <v>1.75</v>
      </c>
      <c r="M234" s="30">
        <v>5</v>
      </c>
      <c r="N234" s="16">
        <f t="shared" si="26"/>
        <v>4.2470126000000006</v>
      </c>
      <c r="O234" s="13">
        <f t="shared" si="27"/>
        <v>32.232075600000002</v>
      </c>
    </row>
    <row r="235" spans="1:15" x14ac:dyDescent="0.3">
      <c r="A235" s="41"/>
      <c r="B235" s="20">
        <v>0.1875</v>
      </c>
      <c r="C235" s="21">
        <v>40.200000000000003</v>
      </c>
      <c r="D235" s="33">
        <v>33.799999999999997</v>
      </c>
      <c r="E235" s="7">
        <v>26</v>
      </c>
      <c r="F235" s="11">
        <f t="shared" si="21"/>
        <v>6.4000000000000057</v>
      </c>
      <c r="G235" s="23">
        <f t="shared" si="22"/>
        <v>7.7999999999999972</v>
      </c>
      <c r="H235" s="24">
        <f t="shared" si="23"/>
        <v>45.070422535211293</v>
      </c>
      <c r="I235" s="25">
        <v>2890</v>
      </c>
      <c r="J235" s="26">
        <f t="shared" si="24"/>
        <v>6.4000000000000057</v>
      </c>
      <c r="K235" s="21">
        <f t="shared" si="25"/>
        <v>28.298880000000022</v>
      </c>
      <c r="L235" s="38">
        <v>1.75</v>
      </c>
      <c r="M235" s="30">
        <v>5</v>
      </c>
      <c r="N235" s="16">
        <f t="shared" si="26"/>
        <v>4.6597760000000044</v>
      </c>
      <c r="O235" s="13">
        <f t="shared" si="27"/>
        <v>34.708656000000026</v>
      </c>
    </row>
    <row r="236" spans="1:15" s="3" customFormat="1" x14ac:dyDescent="0.3">
      <c r="A236" s="34"/>
      <c r="B236" s="34"/>
      <c r="C236" s="34"/>
      <c r="D236" s="34"/>
      <c r="E236" s="34"/>
      <c r="F236" s="34"/>
      <c r="G236" s="34" t="s">
        <v>8</v>
      </c>
      <c r="H236" s="34">
        <f>AVERAGE(H224:H235)</f>
        <v>46.0887456032251</v>
      </c>
      <c r="I236" s="34"/>
      <c r="J236" s="34"/>
      <c r="K236" s="34">
        <f>AVERAGE(K224:K235)</f>
        <v>27.823215749999999</v>
      </c>
      <c r="L236" s="34"/>
      <c r="M236" s="34"/>
      <c r="N236" s="34">
        <f>AVERAGE(N224:N235)</f>
        <v>4.5646431499999993</v>
      </c>
      <c r="O236" s="34">
        <f>AVERAGE(O224:O235)</f>
        <v>34.137858899999998</v>
      </c>
    </row>
    <row r="237" spans="1:15" x14ac:dyDescent="0.3">
      <c r="A237" s="19">
        <v>44611</v>
      </c>
      <c r="B237" s="20">
        <v>0.27083333333333331</v>
      </c>
      <c r="C237" s="21">
        <v>40.5</v>
      </c>
      <c r="D237" s="33">
        <v>33.799999999999997</v>
      </c>
      <c r="E237" s="7">
        <v>26</v>
      </c>
      <c r="F237" s="11">
        <f t="shared" si="21"/>
        <v>6.7000000000000028</v>
      </c>
      <c r="G237" s="23">
        <f t="shared" si="22"/>
        <v>7.7999999999999972</v>
      </c>
      <c r="H237" s="24">
        <f t="shared" si="23"/>
        <v>46.206896551724157</v>
      </c>
      <c r="I237" s="25">
        <v>2870</v>
      </c>
      <c r="J237" s="26">
        <f t="shared" si="24"/>
        <v>6.7000000000000028</v>
      </c>
      <c r="K237" s="21">
        <f t="shared" si="25"/>
        <v>29.420370000000013</v>
      </c>
      <c r="L237" s="38">
        <v>1.75</v>
      </c>
      <c r="M237" s="30">
        <v>5</v>
      </c>
      <c r="N237" s="16">
        <f t="shared" si="26"/>
        <v>4.8840740000000027</v>
      </c>
      <c r="O237" s="13">
        <f t="shared" si="27"/>
        <v>36.054444000000018</v>
      </c>
    </row>
    <row r="238" spans="1:15" x14ac:dyDescent="0.3">
      <c r="A238" s="19"/>
      <c r="B238" s="20">
        <v>0.35416666666666669</v>
      </c>
      <c r="C238" s="21">
        <v>40.6</v>
      </c>
      <c r="D238" s="33">
        <v>33.9</v>
      </c>
      <c r="E238" s="7">
        <v>26</v>
      </c>
      <c r="F238" s="11">
        <f t="shared" si="21"/>
        <v>6.7000000000000028</v>
      </c>
      <c r="G238" s="23">
        <f t="shared" si="22"/>
        <v>7.8999999999999986</v>
      </c>
      <c r="H238" s="24">
        <f t="shared" si="23"/>
        <v>45.890410958904127</v>
      </c>
      <c r="I238" s="25">
        <v>2871</v>
      </c>
      <c r="J238" s="26">
        <f t="shared" si="24"/>
        <v>6.7000000000000028</v>
      </c>
      <c r="K238" s="21">
        <f t="shared" si="25"/>
        <v>29.430621000000009</v>
      </c>
      <c r="L238" s="38">
        <v>1.75</v>
      </c>
      <c r="M238" s="30">
        <v>5</v>
      </c>
      <c r="N238" s="16">
        <f t="shared" si="26"/>
        <v>4.886124200000002</v>
      </c>
      <c r="O238" s="13">
        <f t="shared" si="27"/>
        <v>36.066745200000014</v>
      </c>
    </row>
    <row r="239" spans="1:15" x14ac:dyDescent="0.3">
      <c r="A239" s="19"/>
      <c r="B239" s="20">
        <v>0.4375</v>
      </c>
      <c r="C239" s="21">
        <v>41.5</v>
      </c>
      <c r="D239" s="33">
        <v>34.5</v>
      </c>
      <c r="E239" s="7">
        <v>26</v>
      </c>
      <c r="F239" s="11">
        <f t="shared" si="21"/>
        <v>7</v>
      </c>
      <c r="G239" s="23">
        <f t="shared" si="22"/>
        <v>8.5</v>
      </c>
      <c r="H239" s="24">
        <f t="shared" si="23"/>
        <v>45.161290322580641</v>
      </c>
      <c r="I239" s="25">
        <v>3925</v>
      </c>
      <c r="J239" s="26">
        <f t="shared" si="24"/>
        <v>7</v>
      </c>
      <c r="K239" s="21">
        <f t="shared" si="25"/>
        <v>42.036749999999998</v>
      </c>
      <c r="L239" s="38">
        <v>1.75</v>
      </c>
      <c r="M239" s="30">
        <v>5</v>
      </c>
      <c r="N239" s="16">
        <f t="shared" si="26"/>
        <v>7.4073499999999992</v>
      </c>
      <c r="O239" s="13">
        <f t="shared" si="27"/>
        <v>51.194099999999999</v>
      </c>
    </row>
    <row r="240" spans="1:15" x14ac:dyDescent="0.3">
      <c r="A240" s="19"/>
      <c r="B240" s="20">
        <v>0.52083333333333337</v>
      </c>
      <c r="C240" s="21">
        <v>41.6</v>
      </c>
      <c r="D240" s="33">
        <v>34.9</v>
      </c>
      <c r="E240" s="7">
        <v>26</v>
      </c>
      <c r="F240" s="11">
        <f t="shared" si="21"/>
        <v>6.7000000000000028</v>
      </c>
      <c r="G240" s="23">
        <f t="shared" si="22"/>
        <v>8.8999999999999986</v>
      </c>
      <c r="H240" s="24">
        <f t="shared" si="23"/>
        <v>42.948717948717963</v>
      </c>
      <c r="I240" s="25">
        <v>2841</v>
      </c>
      <c r="J240" s="26">
        <f t="shared" si="24"/>
        <v>6.7000000000000028</v>
      </c>
      <c r="K240" s="21">
        <f t="shared" si="25"/>
        <v>29.123091000000013</v>
      </c>
      <c r="L240" s="38">
        <v>1.75</v>
      </c>
      <c r="M240" s="30">
        <v>5</v>
      </c>
      <c r="N240" s="16">
        <f t="shared" si="26"/>
        <v>4.8246182000000024</v>
      </c>
      <c r="O240" s="13">
        <f t="shared" si="27"/>
        <v>35.697709200000013</v>
      </c>
    </row>
    <row r="241" spans="1:15" x14ac:dyDescent="0.3">
      <c r="A241" s="19"/>
      <c r="B241" s="20">
        <v>0.60416666666666663</v>
      </c>
      <c r="C241" s="21">
        <v>41.2</v>
      </c>
      <c r="D241" s="33">
        <v>34.299999999999997</v>
      </c>
      <c r="E241" s="7">
        <v>26</v>
      </c>
      <c r="F241" s="11">
        <f t="shared" si="21"/>
        <v>6.9000000000000057</v>
      </c>
      <c r="G241" s="23">
        <f t="shared" si="22"/>
        <v>8.2999999999999972</v>
      </c>
      <c r="H241" s="24">
        <f t="shared" si="23"/>
        <v>45.394736842105296</v>
      </c>
      <c r="I241" s="25">
        <v>2836</v>
      </c>
      <c r="J241" s="26">
        <f t="shared" si="24"/>
        <v>6.9000000000000057</v>
      </c>
      <c r="K241" s="21">
        <f t="shared" si="25"/>
        <v>29.939652000000024</v>
      </c>
      <c r="L241" s="38">
        <v>1.75</v>
      </c>
      <c r="M241" s="30">
        <v>5</v>
      </c>
      <c r="N241" s="16">
        <f t="shared" si="26"/>
        <v>4.9879304000000051</v>
      </c>
      <c r="O241" s="13">
        <f t="shared" si="27"/>
        <v>36.677582400000027</v>
      </c>
    </row>
    <row r="242" spans="1:15" x14ac:dyDescent="0.3">
      <c r="A242" s="19"/>
      <c r="B242" s="20">
        <v>0.6875</v>
      </c>
      <c r="C242" s="21">
        <v>41.2</v>
      </c>
      <c r="D242" s="33">
        <v>34.200000000000003</v>
      </c>
      <c r="E242" s="7">
        <v>26</v>
      </c>
      <c r="F242" s="11">
        <f t="shared" si="21"/>
        <v>7</v>
      </c>
      <c r="G242" s="23">
        <f t="shared" si="22"/>
        <v>8.2000000000000028</v>
      </c>
      <c r="H242" s="24">
        <f t="shared" si="23"/>
        <v>46.052631578947363</v>
      </c>
      <c r="I242" s="25">
        <v>2776</v>
      </c>
      <c r="J242" s="26">
        <f t="shared" si="24"/>
        <v>7</v>
      </c>
      <c r="K242" s="21">
        <f t="shared" si="25"/>
        <v>29.73096</v>
      </c>
      <c r="L242" s="38">
        <v>1.75</v>
      </c>
      <c r="M242" s="30">
        <v>5</v>
      </c>
      <c r="N242" s="16">
        <f t="shared" si="26"/>
        <v>4.9461919999999999</v>
      </c>
      <c r="O242" s="13">
        <f t="shared" si="27"/>
        <v>36.427152</v>
      </c>
    </row>
    <row r="243" spans="1:15" x14ac:dyDescent="0.3">
      <c r="A243" s="19"/>
      <c r="B243" s="20">
        <v>0.77083333333333337</v>
      </c>
      <c r="C243" s="21">
        <v>40.200000000000003</v>
      </c>
      <c r="D243" s="33">
        <v>33.299999999999997</v>
      </c>
      <c r="E243" s="7">
        <v>26</v>
      </c>
      <c r="F243" s="11">
        <f t="shared" si="21"/>
        <v>6.9000000000000057</v>
      </c>
      <c r="G243" s="23">
        <f t="shared" si="22"/>
        <v>7.2999999999999972</v>
      </c>
      <c r="H243" s="24">
        <f t="shared" si="23"/>
        <v>48.591549295774676</v>
      </c>
      <c r="I243" s="25">
        <v>2881</v>
      </c>
      <c r="J243" s="26">
        <f t="shared" si="24"/>
        <v>6.9000000000000057</v>
      </c>
      <c r="K243" s="21">
        <f t="shared" si="25"/>
        <v>30.414717000000021</v>
      </c>
      <c r="L243" s="38">
        <v>1.75</v>
      </c>
      <c r="M243" s="30">
        <v>5</v>
      </c>
      <c r="N243" s="16">
        <f t="shared" si="26"/>
        <v>5.082943400000004</v>
      </c>
      <c r="O243" s="13">
        <f t="shared" si="27"/>
        <v>37.247660400000029</v>
      </c>
    </row>
    <row r="244" spans="1:15" x14ac:dyDescent="0.3">
      <c r="A244" s="19"/>
      <c r="B244" s="20">
        <v>0.85416666666666663</v>
      </c>
      <c r="C244" s="21">
        <v>41.2</v>
      </c>
      <c r="D244" s="33">
        <v>34.200000000000003</v>
      </c>
      <c r="E244" s="7">
        <v>26</v>
      </c>
      <c r="F244" s="11">
        <f t="shared" si="21"/>
        <v>7</v>
      </c>
      <c r="G244" s="23">
        <f t="shared" si="22"/>
        <v>8.2000000000000028</v>
      </c>
      <c r="H244" s="24">
        <f t="shared" si="23"/>
        <v>46.052631578947363</v>
      </c>
      <c r="I244" s="25">
        <v>2826</v>
      </c>
      <c r="J244" s="26">
        <f t="shared" si="24"/>
        <v>7</v>
      </c>
      <c r="K244" s="21">
        <f t="shared" si="25"/>
        <v>30.266459999999995</v>
      </c>
      <c r="L244" s="38">
        <v>1.75</v>
      </c>
      <c r="M244" s="30">
        <v>5</v>
      </c>
      <c r="N244" s="16">
        <f t="shared" si="26"/>
        <v>5.053291999999999</v>
      </c>
      <c r="O244" s="13">
        <f t="shared" si="27"/>
        <v>37.069751999999994</v>
      </c>
    </row>
    <row r="245" spans="1:15" x14ac:dyDescent="0.3">
      <c r="A245" s="19"/>
      <c r="B245" s="20">
        <v>0.9375</v>
      </c>
      <c r="C245" s="21">
        <v>41</v>
      </c>
      <c r="D245" s="33">
        <v>34.1</v>
      </c>
      <c r="E245" s="7">
        <v>26</v>
      </c>
      <c r="F245" s="11">
        <f t="shared" si="21"/>
        <v>6.8999999999999986</v>
      </c>
      <c r="G245" s="23">
        <f t="shared" si="22"/>
        <v>8.1000000000000014</v>
      </c>
      <c r="H245" s="24">
        <f t="shared" si="23"/>
        <v>45.999999999999993</v>
      </c>
      <c r="I245" s="25">
        <v>2742</v>
      </c>
      <c r="J245" s="26">
        <f t="shared" si="24"/>
        <v>6.8999999999999986</v>
      </c>
      <c r="K245" s="21">
        <f t="shared" si="25"/>
        <v>28.947293999999989</v>
      </c>
      <c r="L245" s="38">
        <v>1.75</v>
      </c>
      <c r="M245" s="30">
        <v>5</v>
      </c>
      <c r="N245" s="16">
        <f t="shared" si="26"/>
        <v>4.7894587999999976</v>
      </c>
      <c r="O245" s="13">
        <f t="shared" si="27"/>
        <v>35.486752799999984</v>
      </c>
    </row>
    <row r="246" spans="1:15" x14ac:dyDescent="0.3">
      <c r="A246" s="19"/>
      <c r="B246" s="20">
        <v>2.0833333333333332E-2</v>
      </c>
      <c r="C246" s="21">
        <v>41.1</v>
      </c>
      <c r="D246" s="33">
        <v>34.200000000000003</v>
      </c>
      <c r="E246" s="7">
        <v>26</v>
      </c>
      <c r="F246" s="11">
        <f t="shared" si="21"/>
        <v>6.8999999999999986</v>
      </c>
      <c r="G246" s="23">
        <f t="shared" si="22"/>
        <v>8.2000000000000028</v>
      </c>
      <c r="H246" s="24">
        <f t="shared" si="23"/>
        <v>45.695364238410576</v>
      </c>
      <c r="I246" s="25">
        <v>2843</v>
      </c>
      <c r="J246" s="26">
        <f t="shared" si="24"/>
        <v>6.8999999999999986</v>
      </c>
      <c r="K246" s="21">
        <f t="shared" si="25"/>
        <v>30.013550999999993</v>
      </c>
      <c r="L246" s="38">
        <v>1.75</v>
      </c>
      <c r="M246" s="30">
        <v>5</v>
      </c>
      <c r="N246" s="16">
        <f t="shared" si="26"/>
        <v>5.0027101999999983</v>
      </c>
      <c r="O246" s="13">
        <f t="shared" si="27"/>
        <v>36.766261199999988</v>
      </c>
    </row>
    <row r="247" spans="1:15" x14ac:dyDescent="0.3">
      <c r="A247" s="19"/>
      <c r="B247" s="20">
        <v>0.10416666666666667</v>
      </c>
      <c r="C247" s="21">
        <v>40.299999999999997</v>
      </c>
      <c r="D247" s="33">
        <v>33.799999999999997</v>
      </c>
      <c r="E247" s="7">
        <v>26</v>
      </c>
      <c r="F247" s="11">
        <f t="shared" si="21"/>
        <v>6.5</v>
      </c>
      <c r="G247" s="23">
        <f t="shared" si="22"/>
        <v>7.7999999999999972</v>
      </c>
      <c r="H247" s="24">
        <f t="shared" si="23"/>
        <v>45.454545454545467</v>
      </c>
      <c r="I247" s="25">
        <v>2810</v>
      </c>
      <c r="J247" s="26">
        <f t="shared" si="24"/>
        <v>6.5</v>
      </c>
      <c r="K247" s="21">
        <f t="shared" si="25"/>
        <v>27.945449999999997</v>
      </c>
      <c r="L247" s="38">
        <v>1.75</v>
      </c>
      <c r="M247" s="30">
        <v>5</v>
      </c>
      <c r="N247" s="16">
        <f t="shared" si="26"/>
        <v>4.5890899999999997</v>
      </c>
      <c r="O247" s="13">
        <f t="shared" si="27"/>
        <v>34.28454</v>
      </c>
    </row>
    <row r="248" spans="1:15" x14ac:dyDescent="0.3">
      <c r="A248" s="19"/>
      <c r="B248" s="20">
        <v>0.1875</v>
      </c>
      <c r="C248" s="21">
        <v>40.1</v>
      </c>
      <c r="D248" s="33">
        <v>33.6</v>
      </c>
      <c r="E248" s="7">
        <v>26</v>
      </c>
      <c r="F248" s="11">
        <f t="shared" si="21"/>
        <v>6.5</v>
      </c>
      <c r="G248" s="23">
        <f t="shared" si="22"/>
        <v>7.6000000000000014</v>
      </c>
      <c r="H248" s="24">
        <f t="shared" si="23"/>
        <v>46.099290780141835</v>
      </c>
      <c r="I248" s="25">
        <v>2817</v>
      </c>
      <c r="J248" s="26">
        <f t="shared" si="24"/>
        <v>6.5</v>
      </c>
      <c r="K248" s="21">
        <f t="shared" si="25"/>
        <v>28.015065</v>
      </c>
      <c r="L248" s="38">
        <v>1.75</v>
      </c>
      <c r="M248" s="30">
        <v>5</v>
      </c>
      <c r="N248" s="16">
        <f t="shared" si="26"/>
        <v>4.6030129999999998</v>
      </c>
      <c r="O248" s="13">
        <f t="shared" si="27"/>
        <v>34.368077999999997</v>
      </c>
    </row>
    <row r="249" spans="1:15" s="3" customFormat="1" x14ac:dyDescent="0.3">
      <c r="A249" s="34"/>
      <c r="B249" s="34"/>
      <c r="C249" s="34"/>
      <c r="D249" s="34"/>
      <c r="E249" s="34"/>
      <c r="F249" s="34"/>
      <c r="G249" s="34" t="s">
        <v>8</v>
      </c>
      <c r="H249" s="34">
        <f>AVERAGE(H237:H248)</f>
        <v>45.795672129233282</v>
      </c>
      <c r="I249" s="34"/>
      <c r="J249" s="34"/>
      <c r="K249" s="34">
        <f>AVERAGE(K237:K248)</f>
        <v>30.440331750000002</v>
      </c>
      <c r="L249" s="34"/>
      <c r="M249" s="34"/>
      <c r="N249" s="34">
        <f>AVERAGE(N237:N248)</f>
        <v>5.0880663500000001</v>
      </c>
      <c r="O249" s="34">
        <f>AVERAGE(O237:O248)</f>
        <v>37.278398100000004</v>
      </c>
    </row>
    <row r="250" spans="1:15" x14ac:dyDescent="0.3">
      <c r="A250" s="40">
        <v>44612</v>
      </c>
      <c r="B250" s="20">
        <v>0.27083333333333331</v>
      </c>
      <c r="C250" s="21">
        <v>39.9</v>
      </c>
      <c r="D250" s="33">
        <v>33.5</v>
      </c>
      <c r="E250" s="7">
        <v>26</v>
      </c>
      <c r="F250" s="11">
        <f t="shared" si="21"/>
        <v>6.3999999999999986</v>
      </c>
      <c r="G250" s="23">
        <f t="shared" si="22"/>
        <v>7.5</v>
      </c>
      <c r="H250" s="24">
        <f t="shared" si="23"/>
        <v>46.043165467625897</v>
      </c>
      <c r="I250" s="25">
        <v>2790</v>
      </c>
      <c r="J250" s="26">
        <f t="shared" si="24"/>
        <v>6.3999999999999986</v>
      </c>
      <c r="K250" s="21">
        <f t="shared" si="25"/>
        <v>27.319679999999995</v>
      </c>
      <c r="L250" s="38">
        <v>1.75</v>
      </c>
      <c r="M250" s="30">
        <v>5</v>
      </c>
      <c r="N250" s="16">
        <f t="shared" si="26"/>
        <v>4.4639359999999986</v>
      </c>
      <c r="O250" s="13">
        <f t="shared" si="27"/>
        <v>33.533615999999995</v>
      </c>
    </row>
    <row r="251" spans="1:15" x14ac:dyDescent="0.3">
      <c r="A251" s="41"/>
      <c r="B251" s="20">
        <v>0.35416666666666669</v>
      </c>
      <c r="C251" s="21">
        <v>39.799999999999997</v>
      </c>
      <c r="D251" s="33">
        <v>33.4</v>
      </c>
      <c r="E251" s="7">
        <v>26</v>
      </c>
      <c r="F251" s="11">
        <f t="shared" si="21"/>
        <v>6.3999999999999986</v>
      </c>
      <c r="G251" s="23">
        <f t="shared" si="22"/>
        <v>7.3999999999999986</v>
      </c>
      <c r="H251" s="24">
        <f t="shared" si="23"/>
        <v>46.376811594202898</v>
      </c>
      <c r="I251" s="25">
        <v>2888</v>
      </c>
      <c r="J251" s="26">
        <f t="shared" si="24"/>
        <v>6.3999999999999986</v>
      </c>
      <c r="K251" s="21">
        <f t="shared" si="25"/>
        <v>28.279295999999992</v>
      </c>
      <c r="L251" s="38">
        <v>1.75</v>
      </c>
      <c r="M251" s="30">
        <v>5</v>
      </c>
      <c r="N251" s="16">
        <f t="shared" si="26"/>
        <v>4.6558591999999983</v>
      </c>
      <c r="O251" s="13">
        <f t="shared" si="27"/>
        <v>34.68515519999999</v>
      </c>
    </row>
    <row r="252" spans="1:15" x14ac:dyDescent="0.3">
      <c r="A252" s="41"/>
      <c r="B252" s="20">
        <v>0.4375</v>
      </c>
      <c r="C252" s="21">
        <v>40.4</v>
      </c>
      <c r="D252" s="33">
        <v>33.9</v>
      </c>
      <c r="E252" s="7">
        <v>26</v>
      </c>
      <c r="F252" s="11">
        <f t="shared" si="21"/>
        <v>6.5</v>
      </c>
      <c r="G252" s="23">
        <f t="shared" si="22"/>
        <v>7.8999999999999986</v>
      </c>
      <c r="H252" s="24">
        <f t="shared" si="23"/>
        <v>45.138888888888893</v>
      </c>
      <c r="I252" s="25">
        <v>2795</v>
      </c>
      <c r="J252" s="26">
        <f t="shared" si="24"/>
        <v>6.5</v>
      </c>
      <c r="K252" s="21">
        <f t="shared" si="25"/>
        <v>27.796274999999998</v>
      </c>
      <c r="L252" s="38">
        <v>1.75</v>
      </c>
      <c r="M252" s="30">
        <v>5</v>
      </c>
      <c r="N252" s="16">
        <f t="shared" si="26"/>
        <v>4.5592549999999994</v>
      </c>
      <c r="O252" s="13">
        <f t="shared" si="27"/>
        <v>34.105529999999995</v>
      </c>
    </row>
    <row r="253" spans="1:15" x14ac:dyDescent="0.3">
      <c r="A253" s="41"/>
      <c r="B253" s="20">
        <v>0.52083333333333337</v>
      </c>
      <c r="C253" s="21">
        <v>40.200000000000003</v>
      </c>
      <c r="D253" s="33">
        <v>33.6</v>
      </c>
      <c r="E253" s="7">
        <v>26</v>
      </c>
      <c r="F253" s="11">
        <f t="shared" si="21"/>
        <v>6.6000000000000014</v>
      </c>
      <c r="G253" s="23">
        <f t="shared" si="22"/>
        <v>7.6000000000000014</v>
      </c>
      <c r="H253" s="24">
        <f t="shared" si="23"/>
        <v>46.478873239436616</v>
      </c>
      <c r="I253" s="25">
        <v>2782</v>
      </c>
      <c r="J253" s="26">
        <f t="shared" si="24"/>
        <v>6.6000000000000014</v>
      </c>
      <c r="K253" s="21">
        <f t="shared" si="25"/>
        <v>28.092636000000002</v>
      </c>
      <c r="L253" s="38">
        <v>1.75</v>
      </c>
      <c r="M253" s="30">
        <v>5</v>
      </c>
      <c r="N253" s="16">
        <f t="shared" si="26"/>
        <v>4.6185272000000008</v>
      </c>
      <c r="O253" s="13">
        <f t="shared" si="27"/>
        <v>34.461163200000001</v>
      </c>
    </row>
    <row r="254" spans="1:15" x14ac:dyDescent="0.3">
      <c r="A254" s="41"/>
      <c r="B254" s="20">
        <v>0.60416666666666663</v>
      </c>
      <c r="C254" s="21">
        <v>40</v>
      </c>
      <c r="D254" s="33">
        <v>33.700000000000003</v>
      </c>
      <c r="E254" s="7">
        <v>26</v>
      </c>
      <c r="F254" s="11">
        <f t="shared" si="21"/>
        <v>6.2999999999999972</v>
      </c>
      <c r="G254" s="23">
        <f t="shared" si="22"/>
        <v>7.7000000000000028</v>
      </c>
      <c r="H254" s="24">
        <f t="shared" si="23"/>
        <v>44.999999999999979</v>
      </c>
      <c r="I254" s="25">
        <v>2806</v>
      </c>
      <c r="J254" s="26">
        <f t="shared" si="24"/>
        <v>6.2999999999999972</v>
      </c>
      <c r="K254" s="21">
        <f t="shared" si="25"/>
        <v>27.047033999999986</v>
      </c>
      <c r="L254" s="38">
        <v>1.75</v>
      </c>
      <c r="M254" s="30">
        <v>5</v>
      </c>
      <c r="N254" s="16">
        <f t="shared" si="26"/>
        <v>4.4094067999999975</v>
      </c>
      <c r="O254" s="13">
        <f t="shared" si="27"/>
        <v>33.206440799999982</v>
      </c>
    </row>
    <row r="255" spans="1:15" x14ac:dyDescent="0.3">
      <c r="A255" s="41"/>
      <c r="B255" s="20">
        <v>0.6875</v>
      </c>
      <c r="C255" s="21">
        <v>40</v>
      </c>
      <c r="D255" s="33">
        <v>33.700000000000003</v>
      </c>
      <c r="E255" s="7">
        <v>26</v>
      </c>
      <c r="F255" s="11">
        <f t="shared" si="21"/>
        <v>6.2999999999999972</v>
      </c>
      <c r="G255" s="23">
        <f t="shared" si="22"/>
        <v>7.7000000000000028</v>
      </c>
      <c r="H255" s="24">
        <f t="shared" si="23"/>
        <v>44.999999999999979</v>
      </c>
      <c r="I255" s="25">
        <v>2871</v>
      </c>
      <c r="J255" s="26">
        <f t="shared" si="24"/>
        <v>6.2999999999999972</v>
      </c>
      <c r="K255" s="21">
        <f t="shared" si="25"/>
        <v>27.673568999999986</v>
      </c>
      <c r="L255" s="38">
        <v>1.75</v>
      </c>
      <c r="M255" s="30">
        <v>5</v>
      </c>
      <c r="N255" s="16">
        <f t="shared" si="26"/>
        <v>4.5347137999999969</v>
      </c>
      <c r="O255" s="13">
        <f t="shared" si="27"/>
        <v>33.958282799999985</v>
      </c>
    </row>
    <row r="256" spans="1:15" x14ac:dyDescent="0.3">
      <c r="A256" s="41"/>
      <c r="B256" s="20">
        <v>0.77083333333333337</v>
      </c>
      <c r="C256" s="21">
        <v>39.700000000000003</v>
      </c>
      <c r="D256" s="33">
        <v>33.299999999999997</v>
      </c>
      <c r="E256" s="7">
        <v>26</v>
      </c>
      <c r="F256" s="11">
        <f t="shared" si="21"/>
        <v>6.4000000000000057</v>
      </c>
      <c r="G256" s="23">
        <f t="shared" si="22"/>
        <v>7.2999999999999972</v>
      </c>
      <c r="H256" s="24">
        <f t="shared" si="23"/>
        <v>46.715328467153313</v>
      </c>
      <c r="I256" s="25">
        <v>2744</v>
      </c>
      <c r="J256" s="26">
        <f t="shared" si="24"/>
        <v>6.4000000000000057</v>
      </c>
      <c r="K256" s="21">
        <f t="shared" si="25"/>
        <v>26.869248000000024</v>
      </c>
      <c r="L256" s="38">
        <v>1.75</v>
      </c>
      <c r="M256" s="30">
        <v>5</v>
      </c>
      <c r="N256" s="16">
        <f t="shared" si="26"/>
        <v>4.3738496000000051</v>
      </c>
      <c r="O256" s="13">
        <f t="shared" si="27"/>
        <v>32.993097600000027</v>
      </c>
    </row>
    <row r="257" spans="1:15" x14ac:dyDescent="0.3">
      <c r="A257" s="41"/>
      <c r="B257" s="20">
        <v>0.85416666666666663</v>
      </c>
      <c r="C257" s="21">
        <v>39.1</v>
      </c>
      <c r="D257" s="33">
        <v>32.799999999999997</v>
      </c>
      <c r="E257" s="7">
        <v>26</v>
      </c>
      <c r="F257" s="11">
        <f t="shared" si="21"/>
        <v>6.3000000000000043</v>
      </c>
      <c r="G257" s="23">
        <f t="shared" si="22"/>
        <v>6.7999999999999972</v>
      </c>
      <c r="H257" s="24">
        <f t="shared" si="23"/>
        <v>48.091603053435136</v>
      </c>
      <c r="I257" s="25">
        <v>2739</v>
      </c>
      <c r="J257" s="26">
        <f t="shared" si="24"/>
        <v>6.3000000000000043</v>
      </c>
      <c r="K257" s="21">
        <f t="shared" si="25"/>
        <v>26.401221000000017</v>
      </c>
      <c r="L257" s="38">
        <v>1.75</v>
      </c>
      <c r="M257" s="30">
        <v>5</v>
      </c>
      <c r="N257" s="16">
        <f t="shared" si="26"/>
        <v>4.2802442000000038</v>
      </c>
      <c r="O257" s="13">
        <f t="shared" si="27"/>
        <v>32.431465200000019</v>
      </c>
    </row>
    <row r="258" spans="1:15" x14ac:dyDescent="0.3">
      <c r="A258" s="41"/>
      <c r="B258" s="20">
        <v>0.9375</v>
      </c>
      <c r="C258" s="21">
        <v>39.799999999999997</v>
      </c>
      <c r="D258" s="33">
        <v>33.6</v>
      </c>
      <c r="E258" s="7">
        <v>26</v>
      </c>
      <c r="F258" s="11">
        <f t="shared" si="21"/>
        <v>6.1999999999999957</v>
      </c>
      <c r="G258" s="23">
        <f t="shared" si="22"/>
        <v>7.6000000000000014</v>
      </c>
      <c r="H258" s="24">
        <f t="shared" si="23"/>
        <v>44.927536231884034</v>
      </c>
      <c r="I258" s="25">
        <v>2818</v>
      </c>
      <c r="J258" s="26">
        <f t="shared" si="24"/>
        <v>6.1999999999999957</v>
      </c>
      <c r="K258" s="21">
        <f t="shared" si="25"/>
        <v>26.731547999999982</v>
      </c>
      <c r="L258" s="38">
        <v>1.75</v>
      </c>
      <c r="M258" s="30">
        <v>5</v>
      </c>
      <c r="N258" s="16">
        <f t="shared" si="26"/>
        <v>4.3463095999999961</v>
      </c>
      <c r="O258" s="13">
        <f t="shared" si="27"/>
        <v>32.82785759999998</v>
      </c>
    </row>
    <row r="259" spans="1:15" x14ac:dyDescent="0.3">
      <c r="A259" s="41"/>
      <c r="B259" s="20">
        <v>2.0833333333333332E-2</v>
      </c>
      <c r="C259" s="21">
        <v>40.1</v>
      </c>
      <c r="D259" s="33">
        <v>33.700000000000003</v>
      </c>
      <c r="E259" s="7">
        <v>26</v>
      </c>
      <c r="F259" s="11">
        <f t="shared" ref="F259:F322" si="28">C259-D259</f>
        <v>6.3999999999999986</v>
      </c>
      <c r="G259" s="23">
        <f t="shared" ref="G259:G322" si="29">D259-E259</f>
        <v>7.7000000000000028</v>
      </c>
      <c r="H259" s="24">
        <f t="shared" si="23"/>
        <v>45.390070921985803</v>
      </c>
      <c r="I259" s="25">
        <v>2829</v>
      </c>
      <c r="J259" s="26">
        <f t="shared" si="24"/>
        <v>6.3999999999999986</v>
      </c>
      <c r="K259" s="21">
        <f t="shared" si="25"/>
        <v>27.701567999999991</v>
      </c>
      <c r="L259" s="38">
        <v>1.75</v>
      </c>
      <c r="M259" s="30">
        <v>5</v>
      </c>
      <c r="N259" s="16">
        <f t="shared" si="26"/>
        <v>4.5403135999999984</v>
      </c>
      <c r="O259" s="13">
        <f t="shared" si="27"/>
        <v>33.991881599999992</v>
      </c>
    </row>
    <row r="260" spans="1:15" x14ac:dyDescent="0.3">
      <c r="A260" s="41"/>
      <c r="B260" s="20">
        <v>0.10416666666666667</v>
      </c>
      <c r="C260" s="21">
        <v>40</v>
      </c>
      <c r="D260" s="33">
        <v>33.5</v>
      </c>
      <c r="E260" s="7">
        <v>26</v>
      </c>
      <c r="F260" s="11">
        <f t="shared" si="28"/>
        <v>6.5</v>
      </c>
      <c r="G260" s="23">
        <f t="shared" si="29"/>
        <v>7.5</v>
      </c>
      <c r="H260" s="24">
        <f t="shared" ref="H260:H323" si="30">(F260/(F260+G260))*100</f>
        <v>46.428571428571431</v>
      </c>
      <c r="I260" s="25">
        <v>2848</v>
      </c>
      <c r="J260" s="26">
        <f t="shared" ref="J260:J323" si="31">C260-D260</f>
        <v>6.5</v>
      </c>
      <c r="K260" s="21">
        <f t="shared" ref="K260:K323" si="32">0.00085*1.8*I260*J260</f>
        <v>28.323359999999997</v>
      </c>
      <c r="L260" s="38">
        <v>1.75</v>
      </c>
      <c r="M260" s="30">
        <v>5</v>
      </c>
      <c r="N260" s="16">
        <f t="shared" ref="N260:N323" si="33">K260/M260-1</f>
        <v>4.6646719999999995</v>
      </c>
      <c r="O260" s="13">
        <f t="shared" ref="O260:O323" si="34">K260+L260+N260</f>
        <v>34.738031999999997</v>
      </c>
    </row>
    <row r="261" spans="1:15" x14ac:dyDescent="0.3">
      <c r="A261" s="41"/>
      <c r="B261" s="20">
        <v>0.1875</v>
      </c>
      <c r="C261" s="21">
        <v>39.799999999999997</v>
      </c>
      <c r="D261" s="33">
        <v>33.5</v>
      </c>
      <c r="E261" s="7">
        <v>26</v>
      </c>
      <c r="F261" s="11">
        <f t="shared" si="28"/>
        <v>6.2999999999999972</v>
      </c>
      <c r="G261" s="23">
        <f t="shared" si="29"/>
        <v>7.5</v>
      </c>
      <c r="H261" s="24">
        <f t="shared" si="30"/>
        <v>45.652173913043463</v>
      </c>
      <c r="I261" s="25">
        <v>2845</v>
      </c>
      <c r="J261" s="26">
        <f t="shared" si="31"/>
        <v>6.2999999999999972</v>
      </c>
      <c r="K261" s="21">
        <f t="shared" si="32"/>
        <v>27.422954999999988</v>
      </c>
      <c r="L261" s="38">
        <v>1.75</v>
      </c>
      <c r="M261" s="30">
        <v>5</v>
      </c>
      <c r="N261" s="16">
        <f t="shared" si="33"/>
        <v>4.4845909999999973</v>
      </c>
      <c r="O261" s="13">
        <f t="shared" si="34"/>
        <v>33.657545999999982</v>
      </c>
    </row>
    <row r="262" spans="1:15" s="3" customFormat="1" x14ac:dyDescent="0.3">
      <c r="A262" s="34"/>
      <c r="B262" s="34"/>
      <c r="C262" s="34"/>
      <c r="D262" s="34"/>
      <c r="E262" s="34"/>
      <c r="F262" s="34"/>
      <c r="G262" s="34" t="s">
        <v>8</v>
      </c>
      <c r="H262" s="34">
        <f>AVERAGE(H250:H261)</f>
        <v>45.936918600518943</v>
      </c>
      <c r="I262" s="34"/>
      <c r="J262" s="34"/>
      <c r="K262" s="34">
        <f>AVERAGE(K250:K261)</f>
        <v>27.471532499999995</v>
      </c>
      <c r="L262" s="34"/>
      <c r="M262" s="34"/>
      <c r="N262" s="34">
        <f>AVERAGE(N250:N261)</f>
        <v>4.4943064999999995</v>
      </c>
      <c r="O262" s="34">
        <f>AVERAGE(O250:O261)</f>
        <v>33.715838999999995</v>
      </c>
    </row>
    <row r="263" spans="1:15" x14ac:dyDescent="0.3">
      <c r="A263" s="19">
        <v>44613</v>
      </c>
      <c r="B263" s="20">
        <v>0.27083333333333331</v>
      </c>
      <c r="C263" s="21">
        <v>39.799999999999997</v>
      </c>
      <c r="D263" s="33">
        <v>33</v>
      </c>
      <c r="E263" s="7">
        <v>26</v>
      </c>
      <c r="F263" s="11">
        <f t="shared" si="28"/>
        <v>6.7999999999999972</v>
      </c>
      <c r="G263" s="23">
        <f t="shared" si="29"/>
        <v>7</v>
      </c>
      <c r="H263" s="24">
        <f t="shared" si="30"/>
        <v>49.275362318840571</v>
      </c>
      <c r="I263" s="25">
        <v>2761</v>
      </c>
      <c r="J263" s="26">
        <f t="shared" si="31"/>
        <v>6.7999999999999972</v>
      </c>
      <c r="K263" s="21">
        <f t="shared" si="32"/>
        <v>28.725443999999989</v>
      </c>
      <c r="L263" s="38">
        <v>1.75</v>
      </c>
      <c r="M263" s="30">
        <v>5</v>
      </c>
      <c r="N263" s="16">
        <f t="shared" si="33"/>
        <v>4.7450887999999978</v>
      </c>
      <c r="O263" s="13">
        <f t="shared" si="34"/>
        <v>35.220532799999987</v>
      </c>
    </row>
    <row r="264" spans="1:15" x14ac:dyDescent="0.3">
      <c r="A264" s="19"/>
      <c r="B264" s="20">
        <v>0.35416666666666669</v>
      </c>
      <c r="C264" s="21">
        <v>39</v>
      </c>
      <c r="D264" s="33">
        <v>33</v>
      </c>
      <c r="E264" s="7">
        <v>26</v>
      </c>
      <c r="F264" s="11">
        <f t="shared" si="28"/>
        <v>6</v>
      </c>
      <c r="G264" s="23">
        <f t="shared" si="29"/>
        <v>7</v>
      </c>
      <c r="H264" s="24">
        <f t="shared" si="30"/>
        <v>46.153846153846153</v>
      </c>
      <c r="I264" s="25">
        <v>2761</v>
      </c>
      <c r="J264" s="26">
        <f t="shared" si="31"/>
        <v>6</v>
      </c>
      <c r="K264" s="21">
        <f t="shared" si="32"/>
        <v>25.345980000000001</v>
      </c>
      <c r="L264" s="38">
        <v>1.75</v>
      </c>
      <c r="M264" s="30">
        <v>5</v>
      </c>
      <c r="N264" s="16">
        <f t="shared" si="33"/>
        <v>4.0691959999999998</v>
      </c>
      <c r="O264" s="13">
        <f t="shared" si="34"/>
        <v>31.165176000000002</v>
      </c>
    </row>
    <row r="265" spans="1:15" x14ac:dyDescent="0.3">
      <c r="A265" s="19"/>
      <c r="B265" s="20">
        <v>0.4375</v>
      </c>
      <c r="C265" s="21">
        <v>41.1</v>
      </c>
      <c r="D265" s="33">
        <v>34</v>
      </c>
      <c r="E265" s="7">
        <v>26</v>
      </c>
      <c r="F265" s="11">
        <f t="shared" si="28"/>
        <v>7.1000000000000014</v>
      </c>
      <c r="G265" s="23">
        <f t="shared" si="29"/>
        <v>8</v>
      </c>
      <c r="H265" s="24">
        <f t="shared" si="30"/>
        <v>47.019867549668881</v>
      </c>
      <c r="I265" s="25">
        <v>2611</v>
      </c>
      <c r="J265" s="26">
        <f t="shared" si="31"/>
        <v>7.1000000000000014</v>
      </c>
      <c r="K265" s="21">
        <f t="shared" si="32"/>
        <v>28.363293000000006</v>
      </c>
      <c r="L265" s="38">
        <v>1.75</v>
      </c>
      <c r="M265" s="30">
        <v>5</v>
      </c>
      <c r="N265" s="16">
        <f t="shared" si="33"/>
        <v>4.672658600000001</v>
      </c>
      <c r="O265" s="13">
        <f t="shared" si="34"/>
        <v>34.785951600000004</v>
      </c>
    </row>
    <row r="266" spans="1:15" x14ac:dyDescent="0.3">
      <c r="A266" s="19"/>
      <c r="B266" s="20">
        <v>0.52083333333333337</v>
      </c>
      <c r="C266" s="21">
        <v>41</v>
      </c>
      <c r="D266" s="33">
        <v>34</v>
      </c>
      <c r="E266" s="7">
        <v>26</v>
      </c>
      <c r="F266" s="11">
        <f t="shared" si="28"/>
        <v>7</v>
      </c>
      <c r="G266" s="23">
        <f t="shared" si="29"/>
        <v>8</v>
      </c>
      <c r="H266" s="24">
        <f t="shared" si="30"/>
        <v>46.666666666666664</v>
      </c>
      <c r="I266" s="25">
        <v>2811</v>
      </c>
      <c r="J266" s="26">
        <f t="shared" si="31"/>
        <v>7</v>
      </c>
      <c r="K266" s="21">
        <f t="shared" si="32"/>
        <v>30.105809999999998</v>
      </c>
      <c r="L266" s="38">
        <v>1.75</v>
      </c>
      <c r="M266" s="30">
        <v>5</v>
      </c>
      <c r="N266" s="16">
        <f t="shared" si="33"/>
        <v>5.0211619999999995</v>
      </c>
      <c r="O266" s="13">
        <f t="shared" si="34"/>
        <v>36.876971999999995</v>
      </c>
    </row>
    <row r="267" spans="1:15" x14ac:dyDescent="0.3">
      <c r="A267" s="19"/>
      <c r="B267" s="20">
        <v>0.60416666666666663</v>
      </c>
      <c r="C267" s="21">
        <v>41.9</v>
      </c>
      <c r="D267" s="33">
        <v>35</v>
      </c>
      <c r="E267" s="7">
        <v>26</v>
      </c>
      <c r="F267" s="11">
        <f t="shared" si="28"/>
        <v>6.8999999999999986</v>
      </c>
      <c r="G267" s="23">
        <f t="shared" si="29"/>
        <v>9</v>
      </c>
      <c r="H267" s="24">
        <f t="shared" si="30"/>
        <v>43.396226415094333</v>
      </c>
      <c r="I267" s="25">
        <v>2688</v>
      </c>
      <c r="J267" s="26">
        <f t="shared" si="31"/>
        <v>6.8999999999999986</v>
      </c>
      <c r="K267" s="21">
        <f t="shared" si="32"/>
        <v>28.377215999999994</v>
      </c>
      <c r="L267" s="38">
        <v>1.75</v>
      </c>
      <c r="M267" s="30">
        <v>5</v>
      </c>
      <c r="N267" s="16">
        <f t="shared" si="33"/>
        <v>4.6754431999999984</v>
      </c>
      <c r="O267" s="13">
        <f t="shared" si="34"/>
        <v>34.802659199999994</v>
      </c>
    </row>
    <row r="268" spans="1:15" x14ac:dyDescent="0.3">
      <c r="A268" s="19"/>
      <c r="B268" s="20">
        <v>0.6875</v>
      </c>
      <c r="C268" s="21">
        <v>42.4</v>
      </c>
      <c r="D268" s="33">
        <v>34.9</v>
      </c>
      <c r="E268" s="7">
        <v>26</v>
      </c>
      <c r="F268" s="11">
        <f t="shared" si="28"/>
        <v>7.5</v>
      </c>
      <c r="G268" s="23">
        <f t="shared" si="29"/>
        <v>8.8999999999999986</v>
      </c>
      <c r="H268" s="24">
        <f t="shared" si="30"/>
        <v>45.731707317073173</v>
      </c>
      <c r="I268" s="25">
        <v>2730</v>
      </c>
      <c r="J268" s="26">
        <f t="shared" si="31"/>
        <v>7.5</v>
      </c>
      <c r="K268" s="21">
        <f t="shared" si="32"/>
        <v>31.326749999999997</v>
      </c>
      <c r="L268" s="38">
        <v>1.75</v>
      </c>
      <c r="M268" s="30">
        <v>5</v>
      </c>
      <c r="N268" s="16">
        <f t="shared" si="33"/>
        <v>5.2653499999999998</v>
      </c>
      <c r="O268" s="13">
        <f t="shared" si="34"/>
        <v>38.342099999999995</v>
      </c>
    </row>
    <row r="269" spans="1:15" x14ac:dyDescent="0.3">
      <c r="A269" s="19"/>
      <c r="B269" s="20">
        <v>0.77083333333333337</v>
      </c>
      <c r="C269" s="21">
        <v>41.6</v>
      </c>
      <c r="D269" s="33">
        <v>34.6</v>
      </c>
      <c r="E269" s="7">
        <v>26</v>
      </c>
      <c r="F269" s="11">
        <f t="shared" si="28"/>
        <v>7</v>
      </c>
      <c r="G269" s="23">
        <f t="shared" si="29"/>
        <v>8.6000000000000014</v>
      </c>
      <c r="H269" s="24">
        <f t="shared" si="30"/>
        <v>44.871794871794869</v>
      </c>
      <c r="I269" s="25">
        <v>2719</v>
      </c>
      <c r="J269" s="26">
        <f t="shared" si="31"/>
        <v>7</v>
      </c>
      <c r="K269" s="21">
        <f t="shared" si="32"/>
        <v>29.120489999999997</v>
      </c>
      <c r="L269" s="38">
        <v>1.75</v>
      </c>
      <c r="M269" s="30">
        <v>5</v>
      </c>
      <c r="N269" s="16">
        <f t="shared" si="33"/>
        <v>4.8240979999999993</v>
      </c>
      <c r="O269" s="13">
        <f t="shared" si="34"/>
        <v>35.694587999999996</v>
      </c>
    </row>
    <row r="270" spans="1:15" x14ac:dyDescent="0.3">
      <c r="A270" s="19"/>
      <c r="B270" s="20">
        <v>0.85416666666666663</v>
      </c>
      <c r="C270" s="21">
        <v>42.1</v>
      </c>
      <c r="D270" s="33">
        <v>34.700000000000003</v>
      </c>
      <c r="E270" s="7">
        <v>26</v>
      </c>
      <c r="F270" s="11">
        <f t="shared" si="28"/>
        <v>7.3999999999999986</v>
      </c>
      <c r="G270" s="23">
        <f t="shared" si="29"/>
        <v>8.7000000000000028</v>
      </c>
      <c r="H270" s="24">
        <f t="shared" si="30"/>
        <v>45.962732919254648</v>
      </c>
      <c r="I270" s="25">
        <v>2711</v>
      </c>
      <c r="J270" s="26">
        <f t="shared" si="31"/>
        <v>7.3999999999999986</v>
      </c>
      <c r="K270" s="21">
        <f t="shared" si="32"/>
        <v>30.693941999999993</v>
      </c>
      <c r="L270" s="38">
        <v>1.75</v>
      </c>
      <c r="M270" s="30">
        <v>5</v>
      </c>
      <c r="N270" s="16">
        <f t="shared" si="33"/>
        <v>5.1387883999999984</v>
      </c>
      <c r="O270" s="13">
        <f t="shared" si="34"/>
        <v>37.582730399999988</v>
      </c>
    </row>
    <row r="271" spans="1:15" x14ac:dyDescent="0.3">
      <c r="A271" s="19"/>
      <c r="B271" s="20">
        <v>0.9375</v>
      </c>
      <c r="C271" s="21">
        <v>41.4</v>
      </c>
      <c r="D271" s="33">
        <v>34.5</v>
      </c>
      <c r="E271" s="7">
        <v>26</v>
      </c>
      <c r="F271" s="11">
        <f t="shared" si="28"/>
        <v>6.8999999999999986</v>
      </c>
      <c r="G271" s="23">
        <f t="shared" si="29"/>
        <v>8.5</v>
      </c>
      <c r="H271" s="24">
        <f t="shared" si="30"/>
        <v>44.805194805194795</v>
      </c>
      <c r="I271" s="25">
        <v>2817</v>
      </c>
      <c r="J271" s="26">
        <f t="shared" si="31"/>
        <v>6.8999999999999986</v>
      </c>
      <c r="K271" s="21">
        <f t="shared" si="32"/>
        <v>29.739068999999994</v>
      </c>
      <c r="L271" s="38">
        <v>1.75</v>
      </c>
      <c r="M271" s="30">
        <v>5</v>
      </c>
      <c r="N271" s="16">
        <f t="shared" si="33"/>
        <v>4.9478137999999987</v>
      </c>
      <c r="O271" s="13">
        <f t="shared" si="34"/>
        <v>36.436882799999992</v>
      </c>
    </row>
    <row r="272" spans="1:15" x14ac:dyDescent="0.3">
      <c r="A272" s="19"/>
      <c r="B272" s="20">
        <v>2.0833333333333332E-2</v>
      </c>
      <c r="C272" s="21">
        <v>41.4</v>
      </c>
      <c r="D272" s="33">
        <v>34.5</v>
      </c>
      <c r="E272" s="7">
        <v>26</v>
      </c>
      <c r="F272" s="11">
        <f t="shared" si="28"/>
        <v>6.8999999999999986</v>
      </c>
      <c r="G272" s="23">
        <f t="shared" si="29"/>
        <v>8.5</v>
      </c>
      <c r="H272" s="24">
        <f t="shared" si="30"/>
        <v>44.805194805194795</v>
      </c>
      <c r="I272" s="25">
        <v>2821</v>
      </c>
      <c r="J272" s="26">
        <f t="shared" si="31"/>
        <v>6.8999999999999986</v>
      </c>
      <c r="K272" s="21">
        <f t="shared" si="32"/>
        <v>29.781296999999988</v>
      </c>
      <c r="L272" s="38">
        <v>1.75</v>
      </c>
      <c r="M272" s="30">
        <v>5</v>
      </c>
      <c r="N272" s="16">
        <f t="shared" si="33"/>
        <v>4.9562593999999978</v>
      </c>
      <c r="O272" s="13">
        <f t="shared" si="34"/>
        <v>36.487556399999988</v>
      </c>
    </row>
    <row r="273" spans="1:15" x14ac:dyDescent="0.3">
      <c r="A273" s="19"/>
      <c r="B273" s="20">
        <v>0.10416666666666667</v>
      </c>
      <c r="C273" s="21">
        <v>41.9</v>
      </c>
      <c r="D273" s="33">
        <v>34.9</v>
      </c>
      <c r="E273" s="7">
        <v>26</v>
      </c>
      <c r="F273" s="11">
        <f t="shared" si="28"/>
        <v>7</v>
      </c>
      <c r="G273" s="23">
        <f t="shared" si="29"/>
        <v>8.8999999999999986</v>
      </c>
      <c r="H273" s="24">
        <f t="shared" si="30"/>
        <v>44.025157232704402</v>
      </c>
      <c r="I273" s="25">
        <v>2796</v>
      </c>
      <c r="J273" s="26">
        <f t="shared" si="31"/>
        <v>7</v>
      </c>
      <c r="K273" s="21">
        <f t="shared" si="32"/>
        <v>29.945159999999998</v>
      </c>
      <c r="L273" s="38">
        <v>1.75</v>
      </c>
      <c r="M273" s="30">
        <v>5</v>
      </c>
      <c r="N273" s="16">
        <f t="shared" si="33"/>
        <v>4.9890319999999999</v>
      </c>
      <c r="O273" s="13">
        <f t="shared" si="34"/>
        <v>36.684191999999996</v>
      </c>
    </row>
    <row r="274" spans="1:15" x14ac:dyDescent="0.3">
      <c r="A274" s="19"/>
      <c r="B274" s="20">
        <v>0.1875</v>
      </c>
      <c r="C274" s="21">
        <v>40.799999999999997</v>
      </c>
      <c r="D274" s="33">
        <v>33.9</v>
      </c>
      <c r="E274" s="7">
        <v>26</v>
      </c>
      <c r="F274" s="11">
        <f t="shared" si="28"/>
        <v>6.8999999999999986</v>
      </c>
      <c r="G274" s="23">
        <f t="shared" si="29"/>
        <v>7.8999999999999986</v>
      </c>
      <c r="H274" s="24">
        <f t="shared" si="30"/>
        <v>46.621621621621621</v>
      </c>
      <c r="I274" s="25">
        <v>2785</v>
      </c>
      <c r="J274" s="26">
        <f t="shared" si="31"/>
        <v>6.8999999999999986</v>
      </c>
      <c r="K274" s="21">
        <f t="shared" si="32"/>
        <v>29.401244999999992</v>
      </c>
      <c r="L274" s="38">
        <v>1.75</v>
      </c>
      <c r="M274" s="30">
        <v>5</v>
      </c>
      <c r="N274" s="16">
        <f t="shared" si="33"/>
        <v>4.8802489999999983</v>
      </c>
      <c r="O274" s="13">
        <f t="shared" si="34"/>
        <v>36.031493999999988</v>
      </c>
    </row>
    <row r="275" spans="1:15" s="3" customFormat="1" x14ac:dyDescent="0.3">
      <c r="A275" s="34"/>
      <c r="B275" s="34"/>
      <c r="C275" s="34"/>
      <c r="D275" s="34"/>
      <c r="E275" s="34"/>
      <c r="F275" s="34"/>
      <c r="G275" s="34" t="s">
        <v>8</v>
      </c>
      <c r="H275" s="34">
        <f>AVERAGE(H263:H274)</f>
        <v>45.777947723079571</v>
      </c>
      <c r="I275" s="34"/>
      <c r="J275" s="34"/>
      <c r="K275" s="34">
        <f>AVERAGE(K263:K274)</f>
        <v>29.243807999999998</v>
      </c>
      <c r="L275" s="34"/>
      <c r="M275" s="34"/>
      <c r="N275" s="34">
        <f>AVERAGE(N263:N274)</f>
        <v>4.8487615999999987</v>
      </c>
      <c r="O275" s="34">
        <f>AVERAGE(O263:O274)</f>
        <v>35.84256959999999</v>
      </c>
    </row>
    <row r="276" spans="1:15" x14ac:dyDescent="0.3">
      <c r="A276" s="40">
        <v>44614</v>
      </c>
      <c r="B276" s="20">
        <v>0.27083333333333331</v>
      </c>
      <c r="C276" s="21">
        <v>40.5</v>
      </c>
      <c r="D276" s="33">
        <v>33.6</v>
      </c>
      <c r="E276" s="7">
        <v>26</v>
      </c>
      <c r="F276" s="11">
        <f t="shared" si="28"/>
        <v>6.8999999999999986</v>
      </c>
      <c r="G276" s="23">
        <f t="shared" si="29"/>
        <v>7.6000000000000014</v>
      </c>
      <c r="H276" s="24">
        <f t="shared" si="30"/>
        <v>47.586206896551715</v>
      </c>
      <c r="I276" s="25">
        <v>2851</v>
      </c>
      <c r="J276" s="26">
        <f t="shared" si="31"/>
        <v>6.8999999999999986</v>
      </c>
      <c r="K276" s="21">
        <f t="shared" si="32"/>
        <v>30.098006999999992</v>
      </c>
      <c r="L276" s="38">
        <v>1.75</v>
      </c>
      <c r="M276" s="30">
        <v>5</v>
      </c>
      <c r="N276" s="16">
        <f t="shared" si="33"/>
        <v>5.0196013999999982</v>
      </c>
      <c r="O276" s="13">
        <f t="shared" si="34"/>
        <v>36.867608399999988</v>
      </c>
    </row>
    <row r="277" spans="1:15" x14ac:dyDescent="0.3">
      <c r="A277" s="41"/>
      <c r="B277" s="20">
        <v>0.35416666666666669</v>
      </c>
      <c r="C277" s="21">
        <v>40.299999999999997</v>
      </c>
      <c r="D277" s="33">
        <v>33.4</v>
      </c>
      <c r="E277" s="7">
        <v>26</v>
      </c>
      <c r="F277" s="11">
        <f t="shared" si="28"/>
        <v>6.8999999999999986</v>
      </c>
      <c r="G277" s="23">
        <f t="shared" si="29"/>
        <v>7.3999999999999986</v>
      </c>
      <c r="H277" s="24">
        <f t="shared" si="30"/>
        <v>48.251748251748253</v>
      </c>
      <c r="I277" s="25">
        <v>2754</v>
      </c>
      <c r="J277" s="26">
        <f t="shared" si="31"/>
        <v>6.8999999999999986</v>
      </c>
      <c r="K277" s="21">
        <f t="shared" si="32"/>
        <v>29.073977999999993</v>
      </c>
      <c r="L277" s="38">
        <v>1.75</v>
      </c>
      <c r="M277" s="30">
        <v>5</v>
      </c>
      <c r="N277" s="16">
        <f t="shared" si="33"/>
        <v>4.8147955999999983</v>
      </c>
      <c r="O277" s="13">
        <f t="shared" si="34"/>
        <v>35.638773599999993</v>
      </c>
    </row>
    <row r="278" spans="1:15" x14ac:dyDescent="0.3">
      <c r="A278" s="41"/>
      <c r="B278" s="20">
        <v>0.4375</v>
      </c>
      <c r="C278" s="21">
        <v>41.5</v>
      </c>
      <c r="D278" s="33">
        <v>34.799999999999997</v>
      </c>
      <c r="E278" s="7">
        <v>26</v>
      </c>
      <c r="F278" s="11">
        <f t="shared" si="28"/>
        <v>6.7000000000000028</v>
      </c>
      <c r="G278" s="23">
        <f t="shared" si="29"/>
        <v>8.7999999999999972</v>
      </c>
      <c r="H278" s="24">
        <f t="shared" si="30"/>
        <v>43.225806451612918</v>
      </c>
      <c r="I278" s="25">
        <v>2780</v>
      </c>
      <c r="J278" s="26">
        <f t="shared" si="31"/>
        <v>6.7000000000000028</v>
      </c>
      <c r="K278" s="21">
        <f t="shared" si="32"/>
        <v>28.497780000000013</v>
      </c>
      <c r="L278" s="38">
        <v>1.75</v>
      </c>
      <c r="M278" s="30">
        <v>5</v>
      </c>
      <c r="N278" s="16">
        <f t="shared" si="33"/>
        <v>4.699556000000003</v>
      </c>
      <c r="O278" s="13">
        <f t="shared" si="34"/>
        <v>34.947336000000014</v>
      </c>
    </row>
    <row r="279" spans="1:15" x14ac:dyDescent="0.3">
      <c r="A279" s="41"/>
      <c r="B279" s="20">
        <v>0.52083333333333337</v>
      </c>
      <c r="C279" s="21">
        <v>41.8</v>
      </c>
      <c r="D279" s="33">
        <v>35</v>
      </c>
      <c r="E279" s="7">
        <v>26</v>
      </c>
      <c r="F279" s="11">
        <f t="shared" si="28"/>
        <v>6.7999999999999972</v>
      </c>
      <c r="G279" s="23">
        <f t="shared" si="29"/>
        <v>9</v>
      </c>
      <c r="H279" s="24">
        <f t="shared" si="30"/>
        <v>43.037974683544292</v>
      </c>
      <c r="I279" s="25">
        <v>2830</v>
      </c>
      <c r="J279" s="26">
        <f t="shared" si="31"/>
        <v>6.7999999999999972</v>
      </c>
      <c r="K279" s="21">
        <f t="shared" si="32"/>
        <v>29.443319999999982</v>
      </c>
      <c r="L279" s="38">
        <v>1.75</v>
      </c>
      <c r="M279" s="30">
        <v>5</v>
      </c>
      <c r="N279" s="16">
        <f t="shared" si="33"/>
        <v>4.8886639999999968</v>
      </c>
      <c r="O279" s="13">
        <f t="shared" si="34"/>
        <v>36.081983999999977</v>
      </c>
    </row>
    <row r="280" spans="1:15" x14ac:dyDescent="0.3">
      <c r="A280" s="41"/>
      <c r="B280" s="20">
        <v>0.60416666666666663</v>
      </c>
      <c r="C280" s="21">
        <v>40.6</v>
      </c>
      <c r="D280" s="33">
        <v>33.799999999999997</v>
      </c>
      <c r="E280" s="7">
        <v>26</v>
      </c>
      <c r="F280" s="11">
        <f t="shared" si="28"/>
        <v>6.8000000000000043</v>
      </c>
      <c r="G280" s="23">
        <f t="shared" si="29"/>
        <v>7.7999999999999972</v>
      </c>
      <c r="H280" s="24">
        <f t="shared" si="30"/>
        <v>46.575342465753451</v>
      </c>
      <c r="I280" s="25">
        <v>2749</v>
      </c>
      <c r="J280" s="26">
        <f t="shared" si="31"/>
        <v>6.8000000000000043</v>
      </c>
      <c r="K280" s="21">
        <f t="shared" si="32"/>
        <v>28.600596000000017</v>
      </c>
      <c r="L280" s="38">
        <v>1.75</v>
      </c>
      <c r="M280" s="30">
        <v>5</v>
      </c>
      <c r="N280" s="16">
        <f t="shared" si="33"/>
        <v>4.7201192000000036</v>
      </c>
      <c r="O280" s="13">
        <f t="shared" si="34"/>
        <v>35.070715200000024</v>
      </c>
    </row>
    <row r="281" spans="1:15" x14ac:dyDescent="0.3">
      <c r="A281" s="41"/>
      <c r="B281" s="20">
        <v>0.6875</v>
      </c>
      <c r="C281" s="21">
        <v>40.299999999999997</v>
      </c>
      <c r="D281" s="33">
        <v>33.5</v>
      </c>
      <c r="E281" s="7">
        <v>26</v>
      </c>
      <c r="F281" s="11">
        <f t="shared" si="28"/>
        <v>6.7999999999999972</v>
      </c>
      <c r="G281" s="23">
        <f t="shared" si="29"/>
        <v>7.5</v>
      </c>
      <c r="H281" s="24">
        <f t="shared" si="30"/>
        <v>47.552447552447539</v>
      </c>
      <c r="I281" s="25">
        <v>2779</v>
      </c>
      <c r="J281" s="26">
        <f t="shared" si="31"/>
        <v>6.7999999999999972</v>
      </c>
      <c r="K281" s="21">
        <f t="shared" si="32"/>
        <v>28.912715999999982</v>
      </c>
      <c r="L281" s="38">
        <v>1.75</v>
      </c>
      <c r="M281" s="30">
        <v>5</v>
      </c>
      <c r="N281" s="16">
        <f t="shared" si="33"/>
        <v>4.7825431999999966</v>
      </c>
      <c r="O281" s="13">
        <f t="shared" si="34"/>
        <v>35.445259199999981</v>
      </c>
    </row>
    <row r="282" spans="1:15" x14ac:dyDescent="0.3">
      <c r="A282" s="41"/>
      <c r="B282" s="20">
        <v>0.77083333333333337</v>
      </c>
      <c r="C282" s="21">
        <v>39.9</v>
      </c>
      <c r="D282" s="33">
        <v>33</v>
      </c>
      <c r="E282" s="7">
        <v>26</v>
      </c>
      <c r="F282" s="11">
        <f t="shared" si="28"/>
        <v>6.8999999999999986</v>
      </c>
      <c r="G282" s="23">
        <f t="shared" si="29"/>
        <v>7</v>
      </c>
      <c r="H282" s="24">
        <f t="shared" si="30"/>
        <v>49.640287769784166</v>
      </c>
      <c r="I282" s="25">
        <v>2879</v>
      </c>
      <c r="J282" s="26">
        <f t="shared" si="31"/>
        <v>6.8999999999999986</v>
      </c>
      <c r="K282" s="21">
        <f t="shared" si="32"/>
        <v>30.393602999999992</v>
      </c>
      <c r="L282" s="38">
        <v>1.75</v>
      </c>
      <c r="M282" s="30">
        <v>5</v>
      </c>
      <c r="N282" s="16">
        <f t="shared" si="33"/>
        <v>5.0787205999999987</v>
      </c>
      <c r="O282" s="13">
        <f t="shared" si="34"/>
        <v>37.222323599999989</v>
      </c>
    </row>
    <row r="283" spans="1:15" x14ac:dyDescent="0.3">
      <c r="A283" s="41"/>
      <c r="B283" s="20">
        <v>0.85416666666666663</v>
      </c>
      <c r="C283" s="21">
        <v>39.799999999999997</v>
      </c>
      <c r="D283" s="33">
        <v>33.200000000000003</v>
      </c>
      <c r="E283" s="7">
        <v>26</v>
      </c>
      <c r="F283" s="11">
        <f t="shared" si="28"/>
        <v>6.5999999999999943</v>
      </c>
      <c r="G283" s="23">
        <f t="shared" si="29"/>
        <v>7.2000000000000028</v>
      </c>
      <c r="H283" s="24">
        <f t="shared" si="30"/>
        <v>47.826086956521706</v>
      </c>
      <c r="I283" s="25">
        <v>2883</v>
      </c>
      <c r="J283" s="26">
        <f t="shared" si="31"/>
        <v>6.5999999999999943</v>
      </c>
      <c r="K283" s="21">
        <f t="shared" si="32"/>
        <v>29.112533999999975</v>
      </c>
      <c r="L283" s="38">
        <v>1.75</v>
      </c>
      <c r="M283" s="30">
        <v>5</v>
      </c>
      <c r="N283" s="16">
        <f t="shared" si="33"/>
        <v>4.8225067999999949</v>
      </c>
      <c r="O283" s="13">
        <f t="shared" si="34"/>
        <v>35.685040799999967</v>
      </c>
    </row>
    <row r="284" spans="1:15" x14ac:dyDescent="0.3">
      <c r="A284" s="41"/>
      <c r="B284" s="20">
        <v>0.9375</v>
      </c>
      <c r="C284" s="21">
        <v>40.799999999999997</v>
      </c>
      <c r="D284" s="33">
        <v>34.299999999999997</v>
      </c>
      <c r="E284" s="7">
        <v>26</v>
      </c>
      <c r="F284" s="11">
        <f t="shared" si="28"/>
        <v>6.5</v>
      </c>
      <c r="G284" s="23">
        <f t="shared" si="29"/>
        <v>8.2999999999999972</v>
      </c>
      <c r="H284" s="24">
        <f t="shared" si="30"/>
        <v>43.918918918918926</v>
      </c>
      <c r="I284" s="25">
        <v>2791</v>
      </c>
      <c r="J284" s="26">
        <f t="shared" si="31"/>
        <v>6.5</v>
      </c>
      <c r="K284" s="21">
        <f t="shared" si="32"/>
        <v>27.756494999999997</v>
      </c>
      <c r="L284" s="38">
        <v>1.75</v>
      </c>
      <c r="M284" s="30">
        <v>5</v>
      </c>
      <c r="N284" s="16">
        <f t="shared" si="33"/>
        <v>4.5512989999999993</v>
      </c>
      <c r="O284" s="13">
        <f t="shared" si="34"/>
        <v>34.057793999999994</v>
      </c>
    </row>
    <row r="285" spans="1:15" x14ac:dyDescent="0.3">
      <c r="A285" s="41"/>
      <c r="B285" s="20">
        <v>2.0833333333333332E-2</v>
      </c>
      <c r="C285" s="21">
        <v>41.5</v>
      </c>
      <c r="D285" s="33">
        <v>35.1</v>
      </c>
      <c r="E285" s="7">
        <v>26</v>
      </c>
      <c r="F285" s="11">
        <f t="shared" si="28"/>
        <v>6.3999999999999986</v>
      </c>
      <c r="G285" s="23">
        <f t="shared" si="29"/>
        <v>9.1000000000000014</v>
      </c>
      <c r="H285" s="24">
        <f t="shared" si="30"/>
        <v>41.290322580645153</v>
      </c>
      <c r="I285" s="25">
        <v>2755</v>
      </c>
      <c r="J285" s="26">
        <f t="shared" si="31"/>
        <v>6.3999999999999986</v>
      </c>
      <c r="K285" s="21">
        <f t="shared" si="32"/>
        <v>26.976959999999991</v>
      </c>
      <c r="L285" s="38">
        <v>1.75</v>
      </c>
      <c r="M285" s="30">
        <v>5</v>
      </c>
      <c r="N285" s="16">
        <f t="shared" si="33"/>
        <v>4.3953919999999984</v>
      </c>
      <c r="O285" s="13">
        <f t="shared" si="34"/>
        <v>33.122351999999992</v>
      </c>
    </row>
    <row r="286" spans="1:15" x14ac:dyDescent="0.3">
      <c r="A286" s="41"/>
      <c r="B286" s="20">
        <v>0.10416666666666667</v>
      </c>
      <c r="C286" s="21">
        <v>41.4</v>
      </c>
      <c r="D286" s="33">
        <v>34.9</v>
      </c>
      <c r="E286" s="7">
        <v>26</v>
      </c>
      <c r="F286" s="11">
        <f t="shared" si="28"/>
        <v>6.5</v>
      </c>
      <c r="G286" s="23">
        <f t="shared" si="29"/>
        <v>8.8999999999999986</v>
      </c>
      <c r="H286" s="24">
        <f t="shared" si="30"/>
        <v>42.20779220779221</v>
      </c>
      <c r="I286" s="25">
        <v>2787</v>
      </c>
      <c r="J286" s="26">
        <f t="shared" si="31"/>
        <v>6.5</v>
      </c>
      <c r="K286" s="21">
        <f t="shared" si="32"/>
        <v>27.716714999999997</v>
      </c>
      <c r="L286" s="38">
        <v>1.75</v>
      </c>
      <c r="M286" s="30">
        <v>5</v>
      </c>
      <c r="N286" s="16">
        <f t="shared" si="33"/>
        <v>4.5433429999999992</v>
      </c>
      <c r="O286" s="13">
        <f t="shared" si="34"/>
        <v>34.010057999999994</v>
      </c>
    </row>
    <row r="287" spans="1:15" x14ac:dyDescent="0.3">
      <c r="A287" s="41"/>
      <c r="B287" s="20">
        <v>0.1875</v>
      </c>
      <c r="C287" s="21">
        <v>41.1</v>
      </c>
      <c r="D287" s="33">
        <v>34.6</v>
      </c>
      <c r="E287" s="7">
        <v>26</v>
      </c>
      <c r="F287" s="11">
        <f t="shared" si="28"/>
        <v>6.5</v>
      </c>
      <c r="G287" s="23">
        <f t="shared" si="29"/>
        <v>8.6000000000000014</v>
      </c>
      <c r="H287" s="24">
        <f t="shared" si="30"/>
        <v>43.046357615894038</v>
      </c>
      <c r="I287" s="25">
        <v>2995</v>
      </c>
      <c r="J287" s="26">
        <f t="shared" si="31"/>
        <v>6.5</v>
      </c>
      <c r="K287" s="21">
        <f t="shared" si="32"/>
        <v>29.785274999999999</v>
      </c>
      <c r="L287" s="38">
        <v>1.75</v>
      </c>
      <c r="M287" s="30">
        <v>5</v>
      </c>
      <c r="N287" s="16">
        <f t="shared" si="33"/>
        <v>4.9570549999999995</v>
      </c>
      <c r="O287" s="13">
        <f t="shared" si="34"/>
        <v>36.492329999999995</v>
      </c>
    </row>
    <row r="288" spans="1:15" s="3" customFormat="1" x14ac:dyDescent="0.3">
      <c r="A288" s="34"/>
      <c r="B288" s="34"/>
      <c r="C288" s="34"/>
      <c r="D288" s="34"/>
      <c r="E288" s="34"/>
      <c r="F288" s="34"/>
      <c r="G288" s="34" t="s">
        <v>8</v>
      </c>
      <c r="H288" s="34">
        <f>AVERAGE(H276:H287)</f>
        <v>45.346607695934523</v>
      </c>
      <c r="I288" s="34"/>
      <c r="J288" s="34"/>
      <c r="K288" s="34">
        <f>AVERAGE(K276:K287)</f>
        <v>28.863998249999995</v>
      </c>
      <c r="L288" s="34"/>
      <c r="M288" s="34"/>
      <c r="N288" s="34">
        <f>AVERAGE(N276:N287)</f>
        <v>4.7727996499999987</v>
      </c>
      <c r="O288" s="34">
        <f>AVERAGE(O276:O287)</f>
        <v>35.386797899999991</v>
      </c>
    </row>
    <row r="289" spans="1:15" x14ac:dyDescent="0.3">
      <c r="A289" s="19">
        <v>44615</v>
      </c>
      <c r="B289" s="20">
        <v>0.27083333333333331</v>
      </c>
      <c r="C289" s="21">
        <v>41</v>
      </c>
      <c r="D289" s="33">
        <v>34.5</v>
      </c>
      <c r="E289" s="7">
        <v>26</v>
      </c>
      <c r="F289" s="11">
        <f t="shared" si="28"/>
        <v>6.5</v>
      </c>
      <c r="G289" s="23">
        <f t="shared" si="29"/>
        <v>8.5</v>
      </c>
      <c r="H289" s="24">
        <f t="shared" si="30"/>
        <v>43.333333333333336</v>
      </c>
      <c r="I289" s="25">
        <v>2930</v>
      </c>
      <c r="J289" s="26">
        <f t="shared" si="31"/>
        <v>6.5</v>
      </c>
      <c r="K289" s="21">
        <f t="shared" si="32"/>
        <v>29.138849999999998</v>
      </c>
      <c r="L289" s="38">
        <v>1.75</v>
      </c>
      <c r="M289" s="30">
        <v>5</v>
      </c>
      <c r="N289" s="16">
        <f t="shared" si="33"/>
        <v>4.8277699999999992</v>
      </c>
      <c r="O289" s="13">
        <f t="shared" si="34"/>
        <v>35.716619999999999</v>
      </c>
    </row>
    <row r="290" spans="1:15" x14ac:dyDescent="0.3">
      <c r="A290" s="19"/>
      <c r="B290" s="20">
        <v>0.35416666666666669</v>
      </c>
      <c r="C290" s="21">
        <v>41.8</v>
      </c>
      <c r="D290" s="33">
        <v>34.799999999999997</v>
      </c>
      <c r="E290" s="7">
        <v>26</v>
      </c>
      <c r="F290" s="11">
        <f t="shared" si="28"/>
        <v>7</v>
      </c>
      <c r="G290" s="23">
        <f t="shared" si="29"/>
        <v>8.7999999999999972</v>
      </c>
      <c r="H290" s="24">
        <f t="shared" si="30"/>
        <v>44.303797468354439</v>
      </c>
      <c r="I290" s="25">
        <v>2775</v>
      </c>
      <c r="J290" s="26">
        <f t="shared" si="31"/>
        <v>7</v>
      </c>
      <c r="K290" s="21">
        <f t="shared" si="32"/>
        <v>29.72025</v>
      </c>
      <c r="L290" s="38">
        <v>1.75</v>
      </c>
      <c r="M290" s="30">
        <v>5</v>
      </c>
      <c r="N290" s="16">
        <f t="shared" si="33"/>
        <v>4.9440499999999998</v>
      </c>
      <c r="O290" s="13">
        <f t="shared" si="34"/>
        <v>36.414299999999997</v>
      </c>
    </row>
    <row r="291" spans="1:15" x14ac:dyDescent="0.3">
      <c r="A291" s="19"/>
      <c r="B291" s="20">
        <v>0.4375</v>
      </c>
      <c r="C291" s="21">
        <v>42.1</v>
      </c>
      <c r="D291" s="33">
        <v>35.299999999999997</v>
      </c>
      <c r="E291" s="7">
        <v>26</v>
      </c>
      <c r="F291" s="11">
        <f t="shared" si="28"/>
        <v>6.8000000000000043</v>
      </c>
      <c r="G291" s="23">
        <f t="shared" si="29"/>
        <v>9.2999999999999972</v>
      </c>
      <c r="H291" s="24">
        <f t="shared" si="30"/>
        <v>42.236024844720518</v>
      </c>
      <c r="I291" s="25">
        <v>2951</v>
      </c>
      <c r="J291" s="26">
        <f t="shared" si="31"/>
        <v>6.8000000000000043</v>
      </c>
      <c r="K291" s="21">
        <f t="shared" si="32"/>
        <v>30.702204000000016</v>
      </c>
      <c r="L291" s="38">
        <v>1.75</v>
      </c>
      <c r="M291" s="30">
        <v>5</v>
      </c>
      <c r="N291" s="16">
        <f t="shared" si="33"/>
        <v>5.140440800000003</v>
      </c>
      <c r="O291" s="13">
        <f t="shared" si="34"/>
        <v>37.592644800000016</v>
      </c>
    </row>
    <row r="292" spans="1:15" x14ac:dyDescent="0.3">
      <c r="A292" s="19"/>
      <c r="B292" s="20">
        <v>0.52083333333333337</v>
      </c>
      <c r="C292" s="21">
        <v>42</v>
      </c>
      <c r="D292" s="33">
        <v>35.4</v>
      </c>
      <c r="E292" s="7">
        <v>26</v>
      </c>
      <c r="F292" s="11">
        <f t="shared" si="28"/>
        <v>6.6000000000000014</v>
      </c>
      <c r="G292" s="23">
        <f t="shared" si="29"/>
        <v>9.3999999999999986</v>
      </c>
      <c r="H292" s="24">
        <f t="shared" si="30"/>
        <v>41.250000000000007</v>
      </c>
      <c r="I292" s="25">
        <v>2860</v>
      </c>
      <c r="J292" s="26">
        <f t="shared" si="31"/>
        <v>6.6000000000000014</v>
      </c>
      <c r="K292" s="21">
        <f t="shared" si="32"/>
        <v>28.880280000000006</v>
      </c>
      <c r="L292" s="38">
        <v>1.75</v>
      </c>
      <c r="M292" s="30">
        <v>5</v>
      </c>
      <c r="N292" s="16">
        <f t="shared" si="33"/>
        <v>4.7760560000000014</v>
      </c>
      <c r="O292" s="13">
        <f t="shared" si="34"/>
        <v>35.40633600000001</v>
      </c>
    </row>
    <row r="293" spans="1:15" x14ac:dyDescent="0.3">
      <c r="A293" s="19"/>
      <c r="B293" s="20">
        <v>0.60416666666666663</v>
      </c>
      <c r="C293" s="21">
        <v>41.1</v>
      </c>
      <c r="D293" s="33">
        <v>35</v>
      </c>
      <c r="E293" s="7">
        <v>26</v>
      </c>
      <c r="F293" s="11">
        <f t="shared" si="28"/>
        <v>6.1000000000000014</v>
      </c>
      <c r="G293" s="23">
        <f t="shared" si="29"/>
        <v>9</v>
      </c>
      <c r="H293" s="24">
        <f t="shared" si="30"/>
        <v>40.397350993377486</v>
      </c>
      <c r="I293" s="25">
        <v>2816</v>
      </c>
      <c r="J293" s="26">
        <f t="shared" si="31"/>
        <v>6.1000000000000014</v>
      </c>
      <c r="K293" s="21">
        <f t="shared" si="32"/>
        <v>26.281728000000001</v>
      </c>
      <c r="L293" s="38">
        <v>1.75</v>
      </c>
      <c r="M293" s="30">
        <v>5</v>
      </c>
      <c r="N293" s="16">
        <f t="shared" si="33"/>
        <v>4.2563456000000004</v>
      </c>
      <c r="O293" s="13">
        <f t="shared" si="34"/>
        <v>32.288073600000004</v>
      </c>
    </row>
    <row r="294" spans="1:15" x14ac:dyDescent="0.3">
      <c r="A294" s="19"/>
      <c r="B294" s="20">
        <v>0.6875</v>
      </c>
      <c r="C294" s="21">
        <v>41.1</v>
      </c>
      <c r="D294" s="33">
        <v>34</v>
      </c>
      <c r="E294" s="7">
        <v>26</v>
      </c>
      <c r="F294" s="11">
        <f t="shared" si="28"/>
        <v>7.1000000000000014</v>
      </c>
      <c r="G294" s="23">
        <f t="shared" si="29"/>
        <v>8</v>
      </c>
      <c r="H294" s="24">
        <f t="shared" si="30"/>
        <v>47.019867549668881</v>
      </c>
      <c r="I294" s="25">
        <v>2891</v>
      </c>
      <c r="J294" s="26">
        <f t="shared" si="31"/>
        <v>7.1000000000000014</v>
      </c>
      <c r="K294" s="21">
        <f t="shared" si="32"/>
        <v>31.404933</v>
      </c>
      <c r="L294" s="38">
        <v>1.75</v>
      </c>
      <c r="M294" s="30">
        <v>5</v>
      </c>
      <c r="N294" s="16">
        <f t="shared" si="33"/>
        <v>5.2809866000000003</v>
      </c>
      <c r="O294" s="13">
        <f t="shared" si="34"/>
        <v>38.435919599999998</v>
      </c>
    </row>
    <row r="295" spans="1:15" x14ac:dyDescent="0.3">
      <c r="A295" s="19"/>
      <c r="B295" s="20">
        <v>0.77083333333333337</v>
      </c>
      <c r="C295" s="21">
        <v>41.3</v>
      </c>
      <c r="D295" s="33">
        <v>34.5</v>
      </c>
      <c r="E295" s="7">
        <v>26</v>
      </c>
      <c r="F295" s="11">
        <f t="shared" si="28"/>
        <v>6.7999999999999972</v>
      </c>
      <c r="G295" s="23">
        <f t="shared" si="29"/>
        <v>8.5</v>
      </c>
      <c r="H295" s="24">
        <f t="shared" si="30"/>
        <v>44.444444444444436</v>
      </c>
      <c r="I295" s="25">
        <v>2897</v>
      </c>
      <c r="J295" s="26">
        <f t="shared" si="31"/>
        <v>6.7999999999999972</v>
      </c>
      <c r="K295" s="21">
        <f t="shared" si="32"/>
        <v>30.140387999999987</v>
      </c>
      <c r="L295" s="38">
        <v>1.75</v>
      </c>
      <c r="M295" s="30">
        <v>5</v>
      </c>
      <c r="N295" s="16">
        <f t="shared" si="33"/>
        <v>5.0280775999999978</v>
      </c>
      <c r="O295" s="13">
        <f t="shared" si="34"/>
        <v>36.918465599999983</v>
      </c>
    </row>
    <row r="296" spans="1:15" x14ac:dyDescent="0.3">
      <c r="A296" s="19"/>
      <c r="B296" s="20">
        <v>0.85416666666666663</v>
      </c>
      <c r="C296" s="21">
        <v>41.3</v>
      </c>
      <c r="D296" s="33">
        <v>34.6</v>
      </c>
      <c r="E296" s="7">
        <v>26</v>
      </c>
      <c r="F296" s="11">
        <f t="shared" si="28"/>
        <v>6.6999999999999957</v>
      </c>
      <c r="G296" s="23">
        <f t="shared" si="29"/>
        <v>8.6000000000000014</v>
      </c>
      <c r="H296" s="24">
        <f t="shared" si="30"/>
        <v>43.790849673202594</v>
      </c>
      <c r="I296" s="25">
        <v>2891</v>
      </c>
      <c r="J296" s="26">
        <f t="shared" si="31"/>
        <v>6.6999999999999957</v>
      </c>
      <c r="K296" s="21">
        <f t="shared" si="32"/>
        <v>29.635640999999978</v>
      </c>
      <c r="L296" s="38">
        <v>1.75</v>
      </c>
      <c r="M296" s="30">
        <v>5</v>
      </c>
      <c r="N296" s="16">
        <f t="shared" si="33"/>
        <v>4.9271281999999959</v>
      </c>
      <c r="O296" s="13">
        <f t="shared" si="34"/>
        <v>36.312769199999977</v>
      </c>
    </row>
    <row r="297" spans="1:15" x14ac:dyDescent="0.3">
      <c r="A297" s="19"/>
      <c r="B297" s="20">
        <v>0.9375</v>
      </c>
      <c r="C297" s="21">
        <v>41.8</v>
      </c>
      <c r="D297" s="33">
        <v>34.9</v>
      </c>
      <c r="E297" s="7">
        <v>26</v>
      </c>
      <c r="F297" s="11">
        <f t="shared" si="28"/>
        <v>6.8999999999999986</v>
      </c>
      <c r="G297" s="23">
        <f t="shared" si="29"/>
        <v>8.8999999999999986</v>
      </c>
      <c r="H297" s="24">
        <f t="shared" si="30"/>
        <v>43.670886075949369</v>
      </c>
      <c r="I297" s="25">
        <v>2921</v>
      </c>
      <c r="J297" s="26">
        <f t="shared" si="31"/>
        <v>6.8999999999999986</v>
      </c>
      <c r="K297" s="21">
        <f t="shared" si="32"/>
        <v>30.836996999999993</v>
      </c>
      <c r="L297" s="38">
        <v>1.75</v>
      </c>
      <c r="M297" s="30">
        <v>5</v>
      </c>
      <c r="N297" s="16">
        <f t="shared" si="33"/>
        <v>5.167399399999999</v>
      </c>
      <c r="O297" s="13">
        <f t="shared" si="34"/>
        <v>37.754396399999997</v>
      </c>
    </row>
    <row r="298" spans="1:15" x14ac:dyDescent="0.3">
      <c r="A298" s="19"/>
      <c r="B298" s="20">
        <v>2.0833333333333332E-2</v>
      </c>
      <c r="C298" s="21">
        <v>41.8</v>
      </c>
      <c r="D298" s="33">
        <v>35</v>
      </c>
      <c r="E298" s="7">
        <v>26</v>
      </c>
      <c r="F298" s="11">
        <f t="shared" si="28"/>
        <v>6.7999999999999972</v>
      </c>
      <c r="G298" s="23">
        <f t="shared" si="29"/>
        <v>9</v>
      </c>
      <c r="H298" s="24">
        <f t="shared" si="30"/>
        <v>43.037974683544292</v>
      </c>
      <c r="I298" s="25">
        <v>2949</v>
      </c>
      <c r="J298" s="26">
        <f t="shared" si="31"/>
        <v>6.7999999999999972</v>
      </c>
      <c r="K298" s="21">
        <f t="shared" si="32"/>
        <v>30.681395999999985</v>
      </c>
      <c r="L298" s="38">
        <v>1.75</v>
      </c>
      <c r="M298" s="30">
        <v>5</v>
      </c>
      <c r="N298" s="16">
        <f t="shared" si="33"/>
        <v>5.136279199999997</v>
      </c>
      <c r="O298" s="13">
        <f t="shared" si="34"/>
        <v>37.567675199999982</v>
      </c>
    </row>
    <row r="299" spans="1:15" x14ac:dyDescent="0.3">
      <c r="A299" s="19"/>
      <c r="B299" s="20">
        <v>0.10416666666666667</v>
      </c>
      <c r="C299" s="21">
        <v>41.5</v>
      </c>
      <c r="D299" s="33">
        <v>34.799999999999997</v>
      </c>
      <c r="E299" s="7">
        <v>26</v>
      </c>
      <c r="F299" s="11">
        <f t="shared" si="28"/>
        <v>6.7000000000000028</v>
      </c>
      <c r="G299" s="23">
        <f t="shared" si="29"/>
        <v>8.7999999999999972</v>
      </c>
      <c r="H299" s="24">
        <f t="shared" si="30"/>
        <v>43.225806451612918</v>
      </c>
      <c r="I299" s="25">
        <v>2822</v>
      </c>
      <c r="J299" s="26">
        <f t="shared" si="31"/>
        <v>6.7000000000000028</v>
      </c>
      <c r="K299" s="21">
        <f t="shared" si="32"/>
        <v>28.928322000000012</v>
      </c>
      <c r="L299" s="38">
        <v>1.75</v>
      </c>
      <c r="M299" s="30">
        <v>5</v>
      </c>
      <c r="N299" s="16">
        <f t="shared" si="33"/>
        <v>4.7856644000000026</v>
      </c>
      <c r="O299" s="13">
        <f t="shared" si="34"/>
        <v>35.463986400000017</v>
      </c>
    </row>
    <row r="300" spans="1:15" x14ac:dyDescent="0.3">
      <c r="A300" s="19"/>
      <c r="B300" s="20">
        <v>0.1875</v>
      </c>
      <c r="C300" s="21">
        <v>40.9</v>
      </c>
      <c r="D300" s="33">
        <v>34.299999999999997</v>
      </c>
      <c r="E300" s="7">
        <v>26</v>
      </c>
      <c r="F300" s="11">
        <f t="shared" si="28"/>
        <v>6.6000000000000014</v>
      </c>
      <c r="G300" s="23">
        <f t="shared" si="29"/>
        <v>8.2999999999999972</v>
      </c>
      <c r="H300" s="24">
        <f t="shared" si="30"/>
        <v>44.295302013422834</v>
      </c>
      <c r="I300" s="25">
        <v>2962</v>
      </c>
      <c r="J300" s="26">
        <f t="shared" si="31"/>
        <v>6.6000000000000014</v>
      </c>
      <c r="K300" s="21">
        <f t="shared" si="32"/>
        <v>29.910276000000007</v>
      </c>
      <c r="L300" s="38">
        <v>1.75</v>
      </c>
      <c r="M300" s="30">
        <v>5</v>
      </c>
      <c r="N300" s="16">
        <f t="shared" si="33"/>
        <v>4.9820552000000013</v>
      </c>
      <c r="O300" s="13">
        <f t="shared" si="34"/>
        <v>36.642331200000008</v>
      </c>
    </row>
    <row r="301" spans="1:15" s="3" customFormat="1" x14ac:dyDescent="0.3">
      <c r="A301" s="34"/>
      <c r="B301" s="34"/>
      <c r="C301" s="34"/>
      <c r="D301" s="34"/>
      <c r="E301" s="34"/>
      <c r="F301" s="34"/>
      <c r="G301" s="34" t="s">
        <v>8</v>
      </c>
      <c r="H301" s="34">
        <f>AVERAGE(H289:H300)</f>
        <v>43.41713646096926</v>
      </c>
      <c r="I301" s="34"/>
      <c r="J301" s="34"/>
      <c r="K301" s="34">
        <f>AVERAGE(K289:K300)</f>
        <v>29.688438750000003</v>
      </c>
      <c r="L301" s="34"/>
      <c r="M301" s="34"/>
      <c r="N301" s="34">
        <f>AVERAGE(N289:N300)</f>
        <v>4.9376877499999994</v>
      </c>
      <c r="O301" s="34">
        <f>AVERAGE(O289:O300)</f>
        <v>36.376126500000005</v>
      </c>
    </row>
    <row r="302" spans="1:15" x14ac:dyDescent="0.3">
      <c r="A302" s="40">
        <v>44616</v>
      </c>
      <c r="B302" s="20">
        <v>0.27083333333333331</v>
      </c>
      <c r="C302" s="21">
        <v>40.700000000000003</v>
      </c>
      <c r="D302" s="33">
        <v>34.200000000000003</v>
      </c>
      <c r="E302" s="7">
        <v>26</v>
      </c>
      <c r="F302" s="11">
        <f t="shared" si="28"/>
        <v>6.5</v>
      </c>
      <c r="G302" s="23">
        <f t="shared" si="29"/>
        <v>8.2000000000000028</v>
      </c>
      <c r="H302" s="24">
        <f t="shared" si="30"/>
        <v>44.217687074829925</v>
      </c>
      <c r="I302" s="25">
        <v>2953</v>
      </c>
      <c r="J302" s="26">
        <f t="shared" si="31"/>
        <v>6.5</v>
      </c>
      <c r="K302" s="21">
        <f t="shared" si="32"/>
        <v>29.367584999999998</v>
      </c>
      <c r="L302" s="38">
        <v>1.75</v>
      </c>
      <c r="M302" s="30">
        <v>5</v>
      </c>
      <c r="N302" s="16">
        <f t="shared" si="33"/>
        <v>4.8735169999999997</v>
      </c>
      <c r="O302" s="13">
        <f t="shared" si="34"/>
        <v>35.991101999999998</v>
      </c>
    </row>
    <row r="303" spans="1:15" x14ac:dyDescent="0.3">
      <c r="A303" s="41"/>
      <c r="B303" s="20">
        <v>0.35416666666666669</v>
      </c>
      <c r="C303" s="21">
        <v>40.799999999999997</v>
      </c>
      <c r="D303" s="33">
        <v>34.200000000000003</v>
      </c>
      <c r="E303" s="7">
        <v>26</v>
      </c>
      <c r="F303" s="11">
        <f t="shared" si="28"/>
        <v>6.5999999999999943</v>
      </c>
      <c r="G303" s="23">
        <f t="shared" si="29"/>
        <v>8.2000000000000028</v>
      </c>
      <c r="H303" s="24">
        <f t="shared" si="30"/>
        <v>44.594594594594568</v>
      </c>
      <c r="I303" s="25">
        <v>2840</v>
      </c>
      <c r="J303" s="26">
        <f t="shared" si="31"/>
        <v>6.5999999999999943</v>
      </c>
      <c r="K303" s="21">
        <f t="shared" si="32"/>
        <v>28.678319999999971</v>
      </c>
      <c r="L303" s="38">
        <v>1.75</v>
      </c>
      <c r="M303" s="30">
        <v>5</v>
      </c>
      <c r="N303" s="16">
        <f t="shared" si="33"/>
        <v>4.7356639999999945</v>
      </c>
      <c r="O303" s="13">
        <f t="shared" si="34"/>
        <v>35.163983999999964</v>
      </c>
    </row>
    <row r="304" spans="1:15" x14ac:dyDescent="0.3">
      <c r="A304" s="41"/>
      <c r="B304" s="20">
        <v>0.4375</v>
      </c>
      <c r="C304" s="21">
        <v>41.3</v>
      </c>
      <c r="D304" s="33">
        <v>34.799999999999997</v>
      </c>
      <c r="E304" s="7">
        <v>26</v>
      </c>
      <c r="F304" s="11">
        <f t="shared" si="28"/>
        <v>6.5</v>
      </c>
      <c r="G304" s="23">
        <f t="shared" si="29"/>
        <v>8.7999999999999972</v>
      </c>
      <c r="H304" s="24">
        <f t="shared" si="30"/>
        <v>42.483660130718967</v>
      </c>
      <c r="I304" s="25">
        <v>2888</v>
      </c>
      <c r="J304" s="26">
        <f t="shared" si="31"/>
        <v>6.5</v>
      </c>
      <c r="K304" s="21">
        <f t="shared" si="32"/>
        <v>28.721159999999998</v>
      </c>
      <c r="L304" s="38">
        <v>1.75</v>
      </c>
      <c r="M304" s="30">
        <v>5</v>
      </c>
      <c r="N304" s="16">
        <f t="shared" si="33"/>
        <v>4.7442319999999993</v>
      </c>
      <c r="O304" s="13">
        <f t="shared" si="34"/>
        <v>35.215391999999994</v>
      </c>
    </row>
    <row r="305" spans="1:15" x14ac:dyDescent="0.3">
      <c r="A305" s="41"/>
      <c r="B305" s="20">
        <v>0.52083333333333337</v>
      </c>
      <c r="C305" s="21">
        <v>41</v>
      </c>
      <c r="D305" s="33">
        <v>34.700000000000003</v>
      </c>
      <c r="E305" s="7">
        <v>26</v>
      </c>
      <c r="F305" s="11">
        <f t="shared" si="28"/>
        <v>6.2999999999999972</v>
      </c>
      <c r="G305" s="23">
        <f t="shared" si="29"/>
        <v>8.7000000000000028</v>
      </c>
      <c r="H305" s="24">
        <f t="shared" si="30"/>
        <v>41.999999999999979</v>
      </c>
      <c r="I305" s="25">
        <v>2879</v>
      </c>
      <c r="J305" s="26">
        <f t="shared" si="31"/>
        <v>6.2999999999999972</v>
      </c>
      <c r="K305" s="21">
        <f t="shared" si="32"/>
        <v>27.750680999999986</v>
      </c>
      <c r="L305" s="38">
        <v>1.75</v>
      </c>
      <c r="M305" s="30">
        <v>5</v>
      </c>
      <c r="N305" s="16">
        <f t="shared" si="33"/>
        <v>4.5501361999999972</v>
      </c>
      <c r="O305" s="13">
        <f t="shared" si="34"/>
        <v>34.050817199999983</v>
      </c>
    </row>
    <row r="306" spans="1:15" x14ac:dyDescent="0.3">
      <c r="A306" s="41"/>
      <c r="B306" s="20">
        <v>0.60416666666666663</v>
      </c>
      <c r="C306" s="21">
        <v>40.9</v>
      </c>
      <c r="D306" s="33">
        <v>34.5</v>
      </c>
      <c r="E306" s="7">
        <v>26</v>
      </c>
      <c r="F306" s="11">
        <f t="shared" si="28"/>
        <v>6.3999999999999986</v>
      </c>
      <c r="G306" s="23">
        <f t="shared" si="29"/>
        <v>8.5</v>
      </c>
      <c r="H306" s="24">
        <f t="shared" si="30"/>
        <v>42.953020134228183</v>
      </c>
      <c r="I306" s="25">
        <v>3009</v>
      </c>
      <c r="J306" s="26">
        <f t="shared" si="31"/>
        <v>6.3999999999999986</v>
      </c>
      <c r="K306" s="21">
        <f t="shared" si="32"/>
        <v>29.464127999999992</v>
      </c>
      <c r="L306" s="38">
        <v>1.75</v>
      </c>
      <c r="M306" s="30">
        <v>5</v>
      </c>
      <c r="N306" s="16">
        <f t="shared" si="33"/>
        <v>4.8928255999999983</v>
      </c>
      <c r="O306" s="13">
        <f t="shared" si="34"/>
        <v>36.10695359999999</v>
      </c>
    </row>
    <row r="307" spans="1:15" x14ac:dyDescent="0.3">
      <c r="A307" s="41"/>
      <c r="B307" s="20">
        <v>0.6875</v>
      </c>
      <c r="C307" s="21">
        <v>40.1</v>
      </c>
      <c r="D307" s="33">
        <v>33.700000000000003</v>
      </c>
      <c r="E307" s="7">
        <v>26</v>
      </c>
      <c r="F307" s="11">
        <f t="shared" si="28"/>
        <v>6.3999999999999986</v>
      </c>
      <c r="G307" s="23">
        <f t="shared" si="29"/>
        <v>7.7000000000000028</v>
      </c>
      <c r="H307" s="24">
        <f t="shared" si="30"/>
        <v>45.390070921985803</v>
      </c>
      <c r="I307" s="25">
        <v>2944</v>
      </c>
      <c r="J307" s="26">
        <f t="shared" si="31"/>
        <v>6.3999999999999986</v>
      </c>
      <c r="K307" s="21">
        <f t="shared" si="32"/>
        <v>28.827647999999993</v>
      </c>
      <c r="L307" s="38">
        <v>1.75</v>
      </c>
      <c r="M307" s="30">
        <v>5</v>
      </c>
      <c r="N307" s="16">
        <f t="shared" si="33"/>
        <v>4.7655295999999989</v>
      </c>
      <c r="O307" s="13">
        <f t="shared" si="34"/>
        <v>35.34317759999999</v>
      </c>
    </row>
    <row r="308" spans="1:15" x14ac:dyDescent="0.3">
      <c r="A308" s="41"/>
      <c r="B308" s="20">
        <v>0.77083333333333337</v>
      </c>
      <c r="C308" s="21">
        <v>39.799999999999997</v>
      </c>
      <c r="D308" s="33">
        <v>33.4</v>
      </c>
      <c r="E308" s="7">
        <v>26</v>
      </c>
      <c r="F308" s="11">
        <f t="shared" si="28"/>
        <v>6.3999999999999986</v>
      </c>
      <c r="G308" s="23">
        <f t="shared" si="29"/>
        <v>7.3999999999999986</v>
      </c>
      <c r="H308" s="24">
        <f t="shared" si="30"/>
        <v>46.376811594202898</v>
      </c>
      <c r="I308" s="25">
        <v>2715</v>
      </c>
      <c r="J308" s="26">
        <f t="shared" si="31"/>
        <v>6.3999999999999986</v>
      </c>
      <c r="K308" s="21">
        <f t="shared" si="32"/>
        <v>26.585279999999994</v>
      </c>
      <c r="L308" s="38">
        <v>1.75</v>
      </c>
      <c r="M308" s="30">
        <v>5</v>
      </c>
      <c r="N308" s="16">
        <f t="shared" si="33"/>
        <v>4.3170559999999991</v>
      </c>
      <c r="O308" s="13">
        <f t="shared" si="34"/>
        <v>32.652335999999991</v>
      </c>
    </row>
    <row r="309" spans="1:15" x14ac:dyDescent="0.3">
      <c r="A309" s="41"/>
      <c r="B309" s="20">
        <v>0.85416666666666663</v>
      </c>
      <c r="C309" s="21">
        <v>39.799999999999997</v>
      </c>
      <c r="D309" s="33">
        <v>33.4</v>
      </c>
      <c r="E309" s="7">
        <v>26</v>
      </c>
      <c r="F309" s="11">
        <f t="shared" si="28"/>
        <v>6.3999999999999986</v>
      </c>
      <c r="G309" s="23">
        <f t="shared" si="29"/>
        <v>7.3999999999999986</v>
      </c>
      <c r="H309" s="24">
        <f t="shared" si="30"/>
        <v>46.376811594202898</v>
      </c>
      <c r="I309" s="25">
        <v>2788</v>
      </c>
      <c r="J309" s="26">
        <f t="shared" si="31"/>
        <v>6.3999999999999986</v>
      </c>
      <c r="K309" s="21">
        <f t="shared" si="32"/>
        <v>27.300095999999989</v>
      </c>
      <c r="L309" s="38">
        <v>1.75</v>
      </c>
      <c r="M309" s="30">
        <v>5</v>
      </c>
      <c r="N309" s="16">
        <f t="shared" si="33"/>
        <v>4.4600191999999979</v>
      </c>
      <c r="O309" s="13">
        <f t="shared" si="34"/>
        <v>33.510115199999987</v>
      </c>
    </row>
    <row r="310" spans="1:15" x14ac:dyDescent="0.3">
      <c r="A310" s="41"/>
      <c r="B310" s="20">
        <v>0.9375</v>
      </c>
      <c r="C310" s="21">
        <v>39.6</v>
      </c>
      <c r="D310" s="33">
        <v>33.200000000000003</v>
      </c>
      <c r="E310" s="7">
        <v>26</v>
      </c>
      <c r="F310" s="11">
        <f t="shared" si="28"/>
        <v>6.3999999999999986</v>
      </c>
      <c r="G310" s="23">
        <f t="shared" si="29"/>
        <v>7.2000000000000028</v>
      </c>
      <c r="H310" s="24">
        <f t="shared" si="30"/>
        <v>47.058823529411747</v>
      </c>
      <c r="I310" s="25">
        <v>2817</v>
      </c>
      <c r="J310" s="26">
        <f t="shared" si="31"/>
        <v>6.3999999999999986</v>
      </c>
      <c r="K310" s="21">
        <f t="shared" si="32"/>
        <v>27.584063999999994</v>
      </c>
      <c r="L310" s="38">
        <v>1.75</v>
      </c>
      <c r="M310" s="30">
        <v>5</v>
      </c>
      <c r="N310" s="16">
        <f t="shared" si="33"/>
        <v>4.5168127999999985</v>
      </c>
      <c r="O310" s="13">
        <f t="shared" si="34"/>
        <v>33.850876799999995</v>
      </c>
    </row>
    <row r="311" spans="1:15" x14ac:dyDescent="0.3">
      <c r="A311" s="41"/>
      <c r="B311" s="20">
        <v>2.0833333333333332E-2</v>
      </c>
      <c r="C311" s="21">
        <v>39.4</v>
      </c>
      <c r="D311" s="33">
        <v>32.9</v>
      </c>
      <c r="E311" s="7">
        <v>26</v>
      </c>
      <c r="F311" s="11">
        <f t="shared" si="28"/>
        <v>6.5</v>
      </c>
      <c r="G311" s="23">
        <f t="shared" si="29"/>
        <v>6.8999999999999986</v>
      </c>
      <c r="H311" s="24">
        <f t="shared" si="30"/>
        <v>48.507462686567173</v>
      </c>
      <c r="I311" s="25">
        <v>2730</v>
      </c>
      <c r="J311" s="26">
        <f t="shared" si="31"/>
        <v>6.5</v>
      </c>
      <c r="K311" s="21">
        <f t="shared" si="32"/>
        <v>27.149850000000001</v>
      </c>
      <c r="L311" s="38">
        <v>1.75</v>
      </c>
      <c r="M311" s="30">
        <v>5</v>
      </c>
      <c r="N311" s="16">
        <f t="shared" si="33"/>
        <v>4.42997</v>
      </c>
      <c r="O311" s="13">
        <f t="shared" si="34"/>
        <v>33.329819999999998</v>
      </c>
    </row>
    <row r="312" spans="1:15" x14ac:dyDescent="0.3">
      <c r="A312" s="41"/>
      <c r="B312" s="20">
        <v>0.10416666666666667</v>
      </c>
      <c r="C312" s="21">
        <v>39.6</v>
      </c>
      <c r="D312" s="33">
        <v>33.200000000000003</v>
      </c>
      <c r="E312" s="7">
        <v>26</v>
      </c>
      <c r="F312" s="11">
        <f t="shared" si="28"/>
        <v>6.3999999999999986</v>
      </c>
      <c r="G312" s="23">
        <f t="shared" si="29"/>
        <v>7.2000000000000028</v>
      </c>
      <c r="H312" s="24">
        <f t="shared" si="30"/>
        <v>47.058823529411747</v>
      </c>
      <c r="I312" s="25">
        <v>2811</v>
      </c>
      <c r="J312" s="26">
        <f t="shared" si="31"/>
        <v>6.3999999999999986</v>
      </c>
      <c r="K312" s="21">
        <f t="shared" si="32"/>
        <v>27.525311999999989</v>
      </c>
      <c r="L312" s="38">
        <v>1.75</v>
      </c>
      <c r="M312" s="30">
        <v>5</v>
      </c>
      <c r="N312" s="16">
        <f t="shared" si="33"/>
        <v>4.5050623999999981</v>
      </c>
      <c r="O312" s="13">
        <f t="shared" si="34"/>
        <v>33.780374399999985</v>
      </c>
    </row>
    <row r="313" spans="1:15" x14ac:dyDescent="0.3">
      <c r="A313" s="41"/>
      <c r="B313" s="20">
        <v>0.1875</v>
      </c>
      <c r="C313" s="21">
        <v>39</v>
      </c>
      <c r="D313" s="33">
        <v>33.1</v>
      </c>
      <c r="E313" s="7">
        <v>26</v>
      </c>
      <c r="F313" s="11">
        <f t="shared" si="28"/>
        <v>5.8999999999999986</v>
      </c>
      <c r="G313" s="23">
        <f t="shared" si="29"/>
        <v>7.1000000000000014</v>
      </c>
      <c r="H313" s="24">
        <f t="shared" si="30"/>
        <v>45.384615384615373</v>
      </c>
      <c r="I313" s="25">
        <v>2750</v>
      </c>
      <c r="J313" s="26">
        <f t="shared" si="31"/>
        <v>5.8999999999999986</v>
      </c>
      <c r="K313" s="21">
        <f t="shared" si="32"/>
        <v>24.824249999999992</v>
      </c>
      <c r="L313" s="38">
        <v>1.75</v>
      </c>
      <c r="M313" s="30">
        <v>5</v>
      </c>
      <c r="N313" s="16">
        <f t="shared" si="33"/>
        <v>3.9648499999999984</v>
      </c>
      <c r="O313" s="13">
        <f t="shared" si="34"/>
        <v>30.539099999999991</v>
      </c>
    </row>
    <row r="314" spans="1:15" s="3" customFormat="1" x14ac:dyDescent="0.3">
      <c r="A314" s="34"/>
      <c r="B314" s="34"/>
      <c r="C314" s="34"/>
      <c r="D314" s="34"/>
      <c r="E314" s="34"/>
      <c r="F314" s="34"/>
      <c r="G314" s="34" t="s">
        <v>8</v>
      </c>
      <c r="H314" s="34">
        <f>AVERAGE(H302:H313)</f>
        <v>45.200198431230774</v>
      </c>
      <c r="I314" s="34"/>
      <c r="J314" s="34"/>
      <c r="K314" s="34">
        <f>AVERAGE(K302:K313)</f>
        <v>27.814864499999988</v>
      </c>
      <c r="L314" s="34"/>
      <c r="M314" s="34"/>
      <c r="N314" s="34">
        <f>AVERAGE(N302:N313)</f>
        <v>4.5629728999999983</v>
      </c>
      <c r="O314" s="34">
        <f>AVERAGE(O302:O313)</f>
        <v>34.127837399999983</v>
      </c>
    </row>
    <row r="315" spans="1:15" x14ac:dyDescent="0.3">
      <c r="A315" s="19">
        <v>44617</v>
      </c>
      <c r="B315" s="20">
        <v>0.27083333333333331</v>
      </c>
      <c r="C315" s="21">
        <v>39.5</v>
      </c>
      <c r="D315" s="33">
        <v>33.1</v>
      </c>
      <c r="E315" s="7">
        <v>26</v>
      </c>
      <c r="F315" s="11">
        <f t="shared" si="28"/>
        <v>6.3999999999999986</v>
      </c>
      <c r="G315" s="23">
        <f t="shared" si="29"/>
        <v>7.1000000000000014</v>
      </c>
      <c r="H315" s="24">
        <f t="shared" si="30"/>
        <v>47.407407407407398</v>
      </c>
      <c r="I315" s="25">
        <v>2784</v>
      </c>
      <c r="J315" s="26">
        <f t="shared" si="31"/>
        <v>6.3999999999999986</v>
      </c>
      <c r="K315" s="21">
        <f t="shared" si="32"/>
        <v>27.260927999999989</v>
      </c>
      <c r="L315" s="38">
        <v>1.75</v>
      </c>
      <c r="M315" s="30">
        <v>5</v>
      </c>
      <c r="N315" s="16">
        <f t="shared" si="33"/>
        <v>4.4521855999999982</v>
      </c>
      <c r="O315" s="13">
        <f t="shared" si="34"/>
        <v>33.463113599999986</v>
      </c>
    </row>
    <row r="316" spans="1:15" x14ac:dyDescent="0.3">
      <c r="A316" s="19"/>
      <c r="B316" s="20">
        <v>0.35416666666666669</v>
      </c>
      <c r="C316" s="21">
        <v>39.700000000000003</v>
      </c>
      <c r="D316" s="33">
        <v>33.4</v>
      </c>
      <c r="E316" s="7">
        <v>26</v>
      </c>
      <c r="F316" s="11">
        <f t="shared" si="28"/>
        <v>6.3000000000000043</v>
      </c>
      <c r="G316" s="23">
        <f t="shared" si="29"/>
        <v>7.3999999999999986</v>
      </c>
      <c r="H316" s="24">
        <f t="shared" si="30"/>
        <v>45.985401459854039</v>
      </c>
      <c r="I316" s="25">
        <v>2758</v>
      </c>
      <c r="J316" s="26">
        <f t="shared" si="31"/>
        <v>6.3000000000000043</v>
      </c>
      <c r="K316" s="21">
        <f t="shared" si="32"/>
        <v>26.584362000000016</v>
      </c>
      <c r="L316" s="38">
        <v>1.75</v>
      </c>
      <c r="M316" s="30">
        <v>5</v>
      </c>
      <c r="N316" s="16">
        <f t="shared" si="33"/>
        <v>4.3168724000000029</v>
      </c>
      <c r="O316" s="13">
        <f t="shared" si="34"/>
        <v>32.651234400000021</v>
      </c>
    </row>
    <row r="317" spans="1:15" x14ac:dyDescent="0.3">
      <c r="A317" s="19"/>
      <c r="B317" s="20">
        <v>0.4375</v>
      </c>
      <c r="C317" s="21">
        <v>40.4</v>
      </c>
      <c r="D317" s="33">
        <v>34</v>
      </c>
      <c r="E317" s="7">
        <v>26</v>
      </c>
      <c r="F317" s="11">
        <f t="shared" si="28"/>
        <v>6.3999999999999986</v>
      </c>
      <c r="G317" s="23">
        <f t="shared" si="29"/>
        <v>8</v>
      </c>
      <c r="H317" s="24">
        <f t="shared" si="30"/>
        <v>44.444444444444436</v>
      </c>
      <c r="I317" s="25">
        <v>2751</v>
      </c>
      <c r="J317" s="26">
        <f t="shared" si="31"/>
        <v>6.3999999999999986</v>
      </c>
      <c r="K317" s="21">
        <f t="shared" si="32"/>
        <v>26.937791999999991</v>
      </c>
      <c r="L317" s="38">
        <v>1.75</v>
      </c>
      <c r="M317" s="30">
        <v>5</v>
      </c>
      <c r="N317" s="16">
        <f t="shared" si="33"/>
        <v>4.3875583999999979</v>
      </c>
      <c r="O317" s="13">
        <f t="shared" si="34"/>
        <v>33.075350399999991</v>
      </c>
    </row>
    <row r="318" spans="1:15" x14ac:dyDescent="0.3">
      <c r="A318" s="19"/>
      <c r="B318" s="20">
        <v>0.52083333333333337</v>
      </c>
      <c r="C318" s="21">
        <v>40.9</v>
      </c>
      <c r="D318" s="33">
        <v>34.4</v>
      </c>
      <c r="E318" s="7">
        <v>26</v>
      </c>
      <c r="F318" s="11">
        <f t="shared" si="28"/>
        <v>6.5</v>
      </c>
      <c r="G318" s="23">
        <f t="shared" si="29"/>
        <v>8.3999999999999986</v>
      </c>
      <c r="H318" s="24">
        <f t="shared" si="30"/>
        <v>43.624161073825505</v>
      </c>
      <c r="I318" s="25">
        <v>2657</v>
      </c>
      <c r="J318" s="26">
        <f t="shared" si="31"/>
        <v>6.5</v>
      </c>
      <c r="K318" s="21">
        <f t="shared" si="32"/>
        <v>26.423864999999996</v>
      </c>
      <c r="L318" s="38">
        <v>1.75</v>
      </c>
      <c r="M318" s="30">
        <v>5</v>
      </c>
      <c r="N318" s="16">
        <f t="shared" si="33"/>
        <v>4.2847729999999995</v>
      </c>
      <c r="O318" s="13">
        <f t="shared" si="34"/>
        <v>32.458637999999993</v>
      </c>
    </row>
    <row r="319" spans="1:15" x14ac:dyDescent="0.3">
      <c r="A319" s="19"/>
      <c r="B319" s="20">
        <v>0.60416666666666663</v>
      </c>
      <c r="C319" s="21">
        <v>40.4</v>
      </c>
      <c r="D319" s="33">
        <v>34.1</v>
      </c>
      <c r="E319" s="7">
        <v>26</v>
      </c>
      <c r="F319" s="11">
        <f t="shared" si="28"/>
        <v>6.2999999999999972</v>
      </c>
      <c r="G319" s="23">
        <f t="shared" si="29"/>
        <v>8.1000000000000014</v>
      </c>
      <c r="H319" s="24">
        <f t="shared" si="30"/>
        <v>43.749999999999986</v>
      </c>
      <c r="I319" s="25">
        <v>2733</v>
      </c>
      <c r="J319" s="26">
        <f t="shared" si="31"/>
        <v>6.2999999999999972</v>
      </c>
      <c r="K319" s="21">
        <f t="shared" si="32"/>
        <v>26.343386999999989</v>
      </c>
      <c r="L319" s="38">
        <v>1.75</v>
      </c>
      <c r="M319" s="30">
        <v>5</v>
      </c>
      <c r="N319" s="16">
        <f t="shared" si="33"/>
        <v>4.2686773999999978</v>
      </c>
      <c r="O319" s="13">
        <f t="shared" si="34"/>
        <v>32.362064399999987</v>
      </c>
    </row>
    <row r="320" spans="1:15" x14ac:dyDescent="0.3">
      <c r="A320" s="19"/>
      <c r="B320" s="20">
        <v>0.6875</v>
      </c>
      <c r="C320" s="21">
        <v>40.200000000000003</v>
      </c>
      <c r="D320" s="33">
        <v>33.9</v>
      </c>
      <c r="E320" s="7">
        <v>26</v>
      </c>
      <c r="F320" s="11">
        <f t="shared" si="28"/>
        <v>6.3000000000000043</v>
      </c>
      <c r="G320" s="23">
        <f t="shared" si="29"/>
        <v>7.8999999999999986</v>
      </c>
      <c r="H320" s="24">
        <f t="shared" si="30"/>
        <v>44.366197183098613</v>
      </c>
      <c r="I320" s="25">
        <v>2680</v>
      </c>
      <c r="J320" s="26">
        <f t="shared" si="31"/>
        <v>6.3000000000000043</v>
      </c>
      <c r="K320" s="21">
        <f t="shared" si="32"/>
        <v>25.832520000000017</v>
      </c>
      <c r="L320" s="38">
        <v>1.75</v>
      </c>
      <c r="M320" s="30">
        <v>5</v>
      </c>
      <c r="N320" s="16">
        <f t="shared" si="33"/>
        <v>4.1665040000000033</v>
      </c>
      <c r="O320" s="13">
        <f t="shared" si="34"/>
        <v>31.74902400000002</v>
      </c>
    </row>
    <row r="321" spans="1:15" x14ac:dyDescent="0.3">
      <c r="A321" s="19"/>
      <c r="B321" s="20">
        <v>0.77083333333333337</v>
      </c>
      <c r="C321" s="21">
        <v>40</v>
      </c>
      <c r="D321" s="33">
        <v>33.6</v>
      </c>
      <c r="E321" s="7">
        <v>26</v>
      </c>
      <c r="F321" s="11">
        <f t="shared" si="28"/>
        <v>6.3999999999999986</v>
      </c>
      <c r="G321" s="23">
        <f t="shared" si="29"/>
        <v>7.6000000000000014</v>
      </c>
      <c r="H321" s="24">
        <f t="shared" si="30"/>
        <v>45.714285714285701</v>
      </c>
      <c r="I321" s="25">
        <v>2713</v>
      </c>
      <c r="J321" s="26">
        <f t="shared" si="31"/>
        <v>6.3999999999999986</v>
      </c>
      <c r="K321" s="21">
        <f t="shared" si="32"/>
        <v>26.565695999999992</v>
      </c>
      <c r="L321" s="38">
        <v>1.75</v>
      </c>
      <c r="M321" s="30">
        <v>5</v>
      </c>
      <c r="N321" s="16">
        <f t="shared" si="33"/>
        <v>4.3131391999999984</v>
      </c>
      <c r="O321" s="13">
        <f t="shared" si="34"/>
        <v>32.62883519999999</v>
      </c>
    </row>
    <row r="322" spans="1:15" x14ac:dyDescent="0.3">
      <c r="A322" s="19"/>
      <c r="B322" s="20">
        <v>0.85416666666666663</v>
      </c>
      <c r="C322" s="21"/>
      <c r="D322" s="33"/>
      <c r="E322" s="7">
        <v>26</v>
      </c>
      <c r="F322" s="11">
        <f t="shared" si="28"/>
        <v>0</v>
      </c>
      <c r="G322" s="23">
        <f t="shared" si="29"/>
        <v>-26</v>
      </c>
      <c r="H322" s="24">
        <f t="shared" si="30"/>
        <v>0</v>
      </c>
      <c r="I322" s="25"/>
      <c r="J322" s="26">
        <f t="shared" si="31"/>
        <v>0</v>
      </c>
      <c r="K322" s="21">
        <f t="shared" si="32"/>
        <v>0</v>
      </c>
      <c r="L322" s="38">
        <v>1.75</v>
      </c>
      <c r="M322" s="30">
        <v>5</v>
      </c>
      <c r="N322" s="16">
        <f t="shared" si="33"/>
        <v>-1</v>
      </c>
      <c r="O322" s="13">
        <f t="shared" si="34"/>
        <v>0.75</v>
      </c>
    </row>
    <row r="323" spans="1:15" x14ac:dyDescent="0.3">
      <c r="A323" s="19"/>
      <c r="B323" s="20">
        <v>0.9375</v>
      </c>
      <c r="C323" s="21">
        <v>40.1</v>
      </c>
      <c r="D323" s="33">
        <v>33</v>
      </c>
      <c r="E323" s="7">
        <v>26</v>
      </c>
      <c r="F323" s="11">
        <f t="shared" ref="F323:F365" si="35">C323-D323</f>
        <v>7.1000000000000014</v>
      </c>
      <c r="G323" s="23">
        <f t="shared" ref="G323:G365" si="36">D323-E323</f>
        <v>7</v>
      </c>
      <c r="H323" s="24">
        <f t="shared" si="30"/>
        <v>50.354609929078023</v>
      </c>
      <c r="I323" s="25">
        <v>2761</v>
      </c>
      <c r="J323" s="26">
        <f t="shared" si="31"/>
        <v>7.1000000000000014</v>
      </c>
      <c r="K323" s="21">
        <f t="shared" si="32"/>
        <v>29.992743000000008</v>
      </c>
      <c r="L323" s="38">
        <v>1.75</v>
      </c>
      <c r="M323" s="30">
        <v>5</v>
      </c>
      <c r="N323" s="16">
        <f t="shared" si="33"/>
        <v>4.9985486000000012</v>
      </c>
      <c r="O323" s="13">
        <f t="shared" si="34"/>
        <v>36.741291600000011</v>
      </c>
    </row>
    <row r="324" spans="1:15" x14ac:dyDescent="0.3">
      <c r="A324" s="19"/>
      <c r="B324" s="20">
        <v>2.0833333333333332E-2</v>
      </c>
      <c r="C324" s="21">
        <v>40.1</v>
      </c>
      <c r="D324" s="33">
        <v>33</v>
      </c>
      <c r="E324" s="7">
        <v>26</v>
      </c>
      <c r="F324" s="11">
        <f t="shared" si="35"/>
        <v>7.1000000000000014</v>
      </c>
      <c r="G324" s="23">
        <f t="shared" si="36"/>
        <v>7</v>
      </c>
      <c r="H324" s="24">
        <f t="shared" ref="H324:H365" si="37">(F324/(F324+G324))*100</f>
        <v>50.354609929078023</v>
      </c>
      <c r="I324" s="25">
        <v>2681</v>
      </c>
      <c r="J324" s="26">
        <f t="shared" ref="J324:J365" si="38">C324-D324</f>
        <v>7.1000000000000014</v>
      </c>
      <c r="K324" s="21">
        <f t="shared" ref="K324:K365" si="39">0.00085*1.8*I324*J324</f>
        <v>29.123703000000003</v>
      </c>
      <c r="L324" s="38">
        <v>1.75</v>
      </c>
      <c r="M324" s="30">
        <v>5</v>
      </c>
      <c r="N324" s="16">
        <f t="shared" ref="N324:N365" si="40">K324/M324-1</f>
        <v>4.8247406000000002</v>
      </c>
      <c r="O324" s="13">
        <f t="shared" ref="O324:O365" si="41">K324+L324+N324</f>
        <v>35.698443600000004</v>
      </c>
    </row>
    <row r="325" spans="1:15" x14ac:dyDescent="0.3">
      <c r="A325" s="19"/>
      <c r="B325" s="20">
        <v>0.10416666666666667</v>
      </c>
      <c r="C325" s="21">
        <v>39.1</v>
      </c>
      <c r="D325" s="33">
        <v>33</v>
      </c>
      <c r="E325" s="7">
        <v>26</v>
      </c>
      <c r="F325" s="11">
        <f t="shared" si="35"/>
        <v>6.1000000000000014</v>
      </c>
      <c r="G325" s="23">
        <f t="shared" si="36"/>
        <v>7</v>
      </c>
      <c r="H325" s="24">
        <f t="shared" si="37"/>
        <v>46.564885496183209</v>
      </c>
      <c r="I325" s="25">
        <v>2698</v>
      </c>
      <c r="J325" s="26">
        <f t="shared" si="38"/>
        <v>6.1000000000000014</v>
      </c>
      <c r="K325" s="21">
        <f t="shared" si="39"/>
        <v>25.180434000000005</v>
      </c>
      <c r="L325" s="38">
        <v>1.75</v>
      </c>
      <c r="M325" s="30">
        <v>5</v>
      </c>
      <c r="N325" s="16">
        <f t="shared" si="40"/>
        <v>4.0360868000000014</v>
      </c>
      <c r="O325" s="13">
        <f t="shared" si="41"/>
        <v>30.966520800000005</v>
      </c>
    </row>
    <row r="326" spans="1:15" x14ac:dyDescent="0.3">
      <c r="A326" s="19"/>
      <c r="B326" s="20">
        <v>0.1875</v>
      </c>
      <c r="C326" s="21">
        <v>39.700000000000003</v>
      </c>
      <c r="D326" s="33">
        <v>33.200000000000003</v>
      </c>
      <c r="E326" s="7">
        <v>26</v>
      </c>
      <c r="F326" s="11">
        <f t="shared" si="35"/>
        <v>6.5</v>
      </c>
      <c r="G326" s="23">
        <f t="shared" si="36"/>
        <v>7.2000000000000028</v>
      </c>
      <c r="H326" s="24">
        <f t="shared" si="37"/>
        <v>47.445255474452544</v>
      </c>
      <c r="I326" s="25">
        <v>2698</v>
      </c>
      <c r="J326" s="26">
        <f t="shared" si="38"/>
        <v>6.5</v>
      </c>
      <c r="K326" s="21">
        <f t="shared" si="39"/>
        <v>26.831609999999998</v>
      </c>
      <c r="L326" s="38">
        <v>1.75</v>
      </c>
      <c r="M326" s="30">
        <v>5</v>
      </c>
      <c r="N326" s="16">
        <f t="shared" si="40"/>
        <v>4.3663219999999994</v>
      </c>
      <c r="O326" s="13">
        <f t="shared" si="41"/>
        <v>32.947931999999994</v>
      </c>
    </row>
    <row r="327" spans="1:15" s="3" customFormat="1" x14ac:dyDescent="0.3">
      <c r="A327" s="34"/>
      <c r="B327" s="34"/>
      <c r="C327" s="34"/>
      <c r="D327" s="34"/>
      <c r="E327" s="34"/>
      <c r="F327" s="34"/>
      <c r="G327" s="34" t="s">
        <v>8</v>
      </c>
      <c r="H327" s="34">
        <f>AVERAGE(H315:H326)</f>
        <v>42.500938175975627</v>
      </c>
      <c r="I327" s="34"/>
      <c r="J327" s="34"/>
      <c r="K327" s="34">
        <f>AVERAGE(K315:K326)</f>
        <v>24.756420000000002</v>
      </c>
      <c r="L327" s="34"/>
      <c r="M327" s="34"/>
      <c r="N327" s="34">
        <f>AVERAGE(N315:N326)</f>
        <v>3.9512839999999994</v>
      </c>
      <c r="O327" s="34">
        <f>AVERAGE(O315:O326)</f>
        <v>30.457704000000003</v>
      </c>
    </row>
    <row r="328" spans="1:15" x14ac:dyDescent="0.3">
      <c r="A328" s="40">
        <v>44618</v>
      </c>
      <c r="B328" s="20">
        <v>0.27083333333333331</v>
      </c>
      <c r="C328" s="21">
        <v>39.299999999999997</v>
      </c>
      <c r="D328" s="33">
        <v>32.799999999999997</v>
      </c>
      <c r="E328" s="7">
        <v>26</v>
      </c>
      <c r="F328" s="11">
        <f t="shared" si="35"/>
        <v>6.5</v>
      </c>
      <c r="G328" s="23">
        <f t="shared" si="36"/>
        <v>6.7999999999999972</v>
      </c>
      <c r="H328" s="24">
        <f t="shared" si="37"/>
        <v>48.872180451127825</v>
      </c>
      <c r="I328" s="25">
        <v>2750</v>
      </c>
      <c r="J328" s="26">
        <f t="shared" si="38"/>
        <v>6.5</v>
      </c>
      <c r="K328" s="21">
        <f t="shared" si="39"/>
        <v>27.348749999999995</v>
      </c>
      <c r="L328" s="38">
        <v>1.75</v>
      </c>
      <c r="M328" s="30">
        <v>5</v>
      </c>
      <c r="N328" s="16">
        <f t="shared" si="40"/>
        <v>4.4697499999999994</v>
      </c>
      <c r="O328" s="13">
        <f t="shared" si="41"/>
        <v>33.568499999999993</v>
      </c>
    </row>
    <row r="329" spans="1:15" x14ac:dyDescent="0.3">
      <c r="A329" s="41"/>
      <c r="B329" s="20">
        <v>0.35416666666666669</v>
      </c>
      <c r="C329" s="21">
        <v>39.4</v>
      </c>
      <c r="D329" s="33">
        <v>32.9</v>
      </c>
      <c r="E329" s="7">
        <v>26</v>
      </c>
      <c r="F329" s="11">
        <f t="shared" si="35"/>
        <v>6.5</v>
      </c>
      <c r="G329" s="23">
        <f t="shared" si="36"/>
        <v>6.8999999999999986</v>
      </c>
      <c r="H329" s="24">
        <f t="shared" si="37"/>
        <v>48.507462686567173</v>
      </c>
      <c r="I329" s="25">
        <v>2731</v>
      </c>
      <c r="J329" s="26">
        <f t="shared" si="38"/>
        <v>6.5</v>
      </c>
      <c r="K329" s="21">
        <f t="shared" si="39"/>
        <v>27.159794999999999</v>
      </c>
      <c r="L329" s="38">
        <v>1.75</v>
      </c>
      <c r="M329" s="30">
        <v>5</v>
      </c>
      <c r="N329" s="16">
        <f t="shared" si="40"/>
        <v>4.431959</v>
      </c>
      <c r="O329" s="13">
        <f t="shared" si="41"/>
        <v>33.341754000000002</v>
      </c>
    </row>
    <row r="330" spans="1:15" x14ac:dyDescent="0.3">
      <c r="A330" s="41"/>
      <c r="B330" s="20">
        <v>0.4375</v>
      </c>
      <c r="C330" s="21">
        <v>40.4</v>
      </c>
      <c r="D330" s="33">
        <v>33.799999999999997</v>
      </c>
      <c r="E330" s="7">
        <v>26</v>
      </c>
      <c r="F330" s="11">
        <f t="shared" si="35"/>
        <v>6.6000000000000014</v>
      </c>
      <c r="G330" s="23">
        <f t="shared" si="36"/>
        <v>7.7999999999999972</v>
      </c>
      <c r="H330" s="24">
        <f t="shared" si="37"/>
        <v>45.83333333333335</v>
      </c>
      <c r="I330" s="25">
        <v>2665</v>
      </c>
      <c r="J330" s="26">
        <f t="shared" si="38"/>
        <v>6.6000000000000014</v>
      </c>
      <c r="K330" s="21">
        <f t="shared" si="39"/>
        <v>26.911170000000006</v>
      </c>
      <c r="L330" s="38">
        <v>1.75</v>
      </c>
      <c r="M330" s="30">
        <v>5</v>
      </c>
      <c r="N330" s="16">
        <f t="shared" si="40"/>
        <v>4.3822340000000013</v>
      </c>
      <c r="O330" s="13">
        <f t="shared" si="41"/>
        <v>33.04340400000001</v>
      </c>
    </row>
    <row r="331" spans="1:15" x14ac:dyDescent="0.3">
      <c r="A331" s="41"/>
      <c r="B331" s="20">
        <v>0.52083333333333337</v>
      </c>
      <c r="C331" s="21">
        <v>39.9</v>
      </c>
      <c r="D331" s="33">
        <v>33.6</v>
      </c>
      <c r="E331" s="7">
        <v>26</v>
      </c>
      <c r="F331" s="11">
        <f t="shared" si="35"/>
        <v>6.2999999999999972</v>
      </c>
      <c r="G331" s="23">
        <f t="shared" si="36"/>
        <v>7.6000000000000014</v>
      </c>
      <c r="H331" s="24">
        <f t="shared" si="37"/>
        <v>45.323741007194229</v>
      </c>
      <c r="I331" s="25">
        <v>2719</v>
      </c>
      <c r="J331" s="26">
        <f t="shared" si="38"/>
        <v>6.2999999999999972</v>
      </c>
      <c r="K331" s="21">
        <f t="shared" si="39"/>
        <v>26.208440999999983</v>
      </c>
      <c r="L331" s="38">
        <v>1.75</v>
      </c>
      <c r="M331" s="30">
        <v>5</v>
      </c>
      <c r="N331" s="16">
        <f t="shared" si="40"/>
        <v>4.2416881999999969</v>
      </c>
      <c r="O331" s="13">
        <f t="shared" si="41"/>
        <v>32.200129199999978</v>
      </c>
    </row>
    <row r="332" spans="1:15" x14ac:dyDescent="0.3">
      <c r="A332" s="41"/>
      <c r="B332" s="20">
        <v>0.60416666666666663</v>
      </c>
      <c r="C332" s="21">
        <v>39.6</v>
      </c>
      <c r="D332" s="33">
        <v>32.9</v>
      </c>
      <c r="E332" s="7">
        <v>26</v>
      </c>
      <c r="F332" s="11">
        <f t="shared" si="35"/>
        <v>6.7000000000000028</v>
      </c>
      <c r="G332" s="23">
        <f t="shared" si="36"/>
        <v>6.8999999999999986</v>
      </c>
      <c r="H332" s="24">
        <f t="shared" si="37"/>
        <v>49.264705882352956</v>
      </c>
      <c r="I332" s="25">
        <v>2633</v>
      </c>
      <c r="J332" s="26">
        <f t="shared" si="38"/>
        <v>6.7000000000000028</v>
      </c>
      <c r="K332" s="21">
        <f t="shared" si="39"/>
        <v>26.990883000000011</v>
      </c>
      <c r="L332" s="38">
        <v>1.75</v>
      </c>
      <c r="M332" s="30">
        <v>5</v>
      </c>
      <c r="N332" s="16">
        <f t="shared" si="40"/>
        <v>4.398176600000002</v>
      </c>
      <c r="O332" s="13">
        <f t="shared" si="41"/>
        <v>33.13905960000001</v>
      </c>
    </row>
    <row r="333" spans="1:15" x14ac:dyDescent="0.3">
      <c r="A333" s="41"/>
      <c r="B333" s="20">
        <v>0.6875</v>
      </c>
      <c r="C333" s="21">
        <v>39.9</v>
      </c>
      <c r="D333" s="33">
        <v>32.200000000000003</v>
      </c>
      <c r="E333" s="7">
        <v>26</v>
      </c>
      <c r="F333" s="11">
        <f t="shared" si="35"/>
        <v>7.6999999999999957</v>
      </c>
      <c r="G333" s="23">
        <f t="shared" si="36"/>
        <v>6.2000000000000028</v>
      </c>
      <c r="H333" s="24">
        <f t="shared" si="37"/>
        <v>55.395683453237389</v>
      </c>
      <c r="I333" s="25">
        <v>2701</v>
      </c>
      <c r="J333" s="26">
        <f t="shared" si="38"/>
        <v>7.6999999999999957</v>
      </c>
      <c r="K333" s="21">
        <f t="shared" si="39"/>
        <v>31.820480999999983</v>
      </c>
      <c r="L333" s="38">
        <v>1.75</v>
      </c>
      <c r="M333" s="30">
        <v>5</v>
      </c>
      <c r="N333" s="16">
        <f t="shared" si="40"/>
        <v>5.364096199999997</v>
      </c>
      <c r="O333" s="13">
        <f t="shared" si="41"/>
        <v>38.934577199999985</v>
      </c>
    </row>
    <row r="334" spans="1:15" x14ac:dyDescent="0.3">
      <c r="A334" s="41"/>
      <c r="B334" s="20">
        <v>0.77083333333333337</v>
      </c>
      <c r="C334" s="21">
        <v>39.9</v>
      </c>
      <c r="D334" s="33">
        <v>32.200000000000003</v>
      </c>
      <c r="E334" s="7">
        <v>26</v>
      </c>
      <c r="F334" s="11">
        <f t="shared" si="35"/>
        <v>7.6999999999999957</v>
      </c>
      <c r="G334" s="23">
        <f t="shared" si="36"/>
        <v>6.2000000000000028</v>
      </c>
      <c r="H334" s="24">
        <f t="shared" si="37"/>
        <v>55.395683453237389</v>
      </c>
      <c r="I334" s="25">
        <v>2718</v>
      </c>
      <c r="J334" s="26">
        <f t="shared" si="38"/>
        <v>7.6999999999999957</v>
      </c>
      <c r="K334" s="21">
        <f t="shared" si="39"/>
        <v>32.020757999999979</v>
      </c>
      <c r="L334" s="38">
        <v>1.75</v>
      </c>
      <c r="M334" s="30">
        <v>5</v>
      </c>
      <c r="N334" s="16">
        <f t="shared" si="40"/>
        <v>5.4041515999999961</v>
      </c>
      <c r="O334" s="13">
        <f t="shared" si="41"/>
        <v>39.174909599999978</v>
      </c>
    </row>
    <row r="335" spans="1:15" x14ac:dyDescent="0.3">
      <c r="A335" s="41"/>
      <c r="B335" s="20">
        <v>0.85416666666666663</v>
      </c>
      <c r="C335" s="21">
        <v>39.799999999999997</v>
      </c>
      <c r="D335" s="33">
        <v>33</v>
      </c>
      <c r="E335" s="7">
        <v>26</v>
      </c>
      <c r="F335" s="11">
        <f t="shared" si="35"/>
        <v>6.7999999999999972</v>
      </c>
      <c r="G335" s="23">
        <f t="shared" si="36"/>
        <v>7</v>
      </c>
      <c r="H335" s="24">
        <f t="shared" si="37"/>
        <v>49.275362318840571</v>
      </c>
      <c r="I335" s="25">
        <v>2736</v>
      </c>
      <c r="J335" s="26">
        <f t="shared" si="38"/>
        <v>6.7999999999999972</v>
      </c>
      <c r="K335" s="21">
        <f t="shared" si="39"/>
        <v>28.465343999999984</v>
      </c>
      <c r="L335" s="38">
        <v>1.75</v>
      </c>
      <c r="M335" s="30">
        <v>5</v>
      </c>
      <c r="N335" s="16">
        <f t="shared" si="40"/>
        <v>4.6930687999999972</v>
      </c>
      <c r="O335" s="13">
        <f t="shared" si="41"/>
        <v>34.908412799999979</v>
      </c>
    </row>
    <row r="336" spans="1:15" x14ac:dyDescent="0.3">
      <c r="A336" s="41"/>
      <c r="B336" s="20">
        <v>0.9375</v>
      </c>
      <c r="C336" s="21">
        <v>39.700000000000003</v>
      </c>
      <c r="D336" s="33">
        <v>32.9</v>
      </c>
      <c r="E336" s="7">
        <v>26</v>
      </c>
      <c r="F336" s="11">
        <f t="shared" si="35"/>
        <v>6.8000000000000043</v>
      </c>
      <c r="G336" s="23">
        <f t="shared" si="36"/>
        <v>6.8999999999999986</v>
      </c>
      <c r="H336" s="24">
        <f t="shared" si="37"/>
        <v>49.635036496350388</v>
      </c>
      <c r="I336" s="25">
        <v>2721</v>
      </c>
      <c r="J336" s="26">
        <f t="shared" si="38"/>
        <v>6.8000000000000043</v>
      </c>
      <c r="K336" s="21">
        <f t="shared" si="39"/>
        <v>28.309284000000016</v>
      </c>
      <c r="L336" s="38">
        <v>1.75</v>
      </c>
      <c r="M336" s="30">
        <v>5</v>
      </c>
      <c r="N336" s="16">
        <f t="shared" si="40"/>
        <v>4.6618568000000034</v>
      </c>
      <c r="O336" s="13">
        <f t="shared" si="41"/>
        <v>34.721140800000022</v>
      </c>
    </row>
    <row r="337" spans="1:15" x14ac:dyDescent="0.3">
      <c r="A337" s="41"/>
      <c r="B337" s="20">
        <v>2.0833333333333332E-2</v>
      </c>
      <c r="C337" s="21">
        <v>39.5</v>
      </c>
      <c r="D337" s="33">
        <v>32.9</v>
      </c>
      <c r="E337" s="7">
        <v>26</v>
      </c>
      <c r="F337" s="11">
        <f t="shared" si="35"/>
        <v>6.6000000000000014</v>
      </c>
      <c r="G337" s="23">
        <f t="shared" si="36"/>
        <v>6.8999999999999986</v>
      </c>
      <c r="H337" s="24">
        <f t="shared" si="37"/>
        <v>48.8888888888889</v>
      </c>
      <c r="I337" s="25">
        <v>2683</v>
      </c>
      <c r="J337" s="26">
        <f t="shared" si="38"/>
        <v>6.6000000000000014</v>
      </c>
      <c r="K337" s="21">
        <f t="shared" si="39"/>
        <v>27.092934000000007</v>
      </c>
      <c r="L337" s="38">
        <v>1.75</v>
      </c>
      <c r="M337" s="30">
        <v>5</v>
      </c>
      <c r="N337" s="16">
        <f t="shared" si="40"/>
        <v>4.4185868000000017</v>
      </c>
      <c r="O337" s="13">
        <f t="shared" si="41"/>
        <v>33.261520800000007</v>
      </c>
    </row>
    <row r="338" spans="1:15" x14ac:dyDescent="0.3">
      <c r="A338" s="41"/>
      <c r="B338" s="20">
        <v>0.10416666666666667</v>
      </c>
      <c r="C338" s="21">
        <v>40.5</v>
      </c>
      <c r="D338" s="33">
        <v>33.5</v>
      </c>
      <c r="E338" s="7">
        <v>26</v>
      </c>
      <c r="F338" s="11">
        <f t="shared" si="35"/>
        <v>7</v>
      </c>
      <c r="G338" s="23">
        <f t="shared" si="36"/>
        <v>7.5</v>
      </c>
      <c r="H338" s="24">
        <f t="shared" si="37"/>
        <v>48.275862068965516</v>
      </c>
      <c r="I338" s="25">
        <v>2774</v>
      </c>
      <c r="J338" s="26">
        <f t="shared" si="38"/>
        <v>7</v>
      </c>
      <c r="K338" s="21">
        <f t="shared" si="39"/>
        <v>29.709539999999997</v>
      </c>
      <c r="L338" s="38">
        <v>1.75</v>
      </c>
      <c r="M338" s="30">
        <v>5</v>
      </c>
      <c r="N338" s="16">
        <f t="shared" si="40"/>
        <v>4.9419079999999997</v>
      </c>
      <c r="O338" s="13">
        <f t="shared" si="41"/>
        <v>36.401447999999995</v>
      </c>
    </row>
    <row r="339" spans="1:15" x14ac:dyDescent="0.3">
      <c r="A339" s="41"/>
      <c r="B339" s="20">
        <v>0.1875</v>
      </c>
      <c r="C339" s="21">
        <v>39.1</v>
      </c>
      <c r="D339" s="33">
        <v>33</v>
      </c>
      <c r="E339" s="7">
        <v>26</v>
      </c>
      <c r="F339" s="11">
        <f t="shared" si="35"/>
        <v>6.1000000000000014</v>
      </c>
      <c r="G339" s="23">
        <f t="shared" si="36"/>
        <v>7</v>
      </c>
      <c r="H339" s="24">
        <f t="shared" si="37"/>
        <v>46.564885496183209</v>
      </c>
      <c r="I339" s="25">
        <v>2671</v>
      </c>
      <c r="J339" s="26">
        <f t="shared" si="38"/>
        <v>6.1000000000000014</v>
      </c>
      <c r="K339" s="21">
        <f t="shared" si="39"/>
        <v>24.928443000000001</v>
      </c>
      <c r="L339" s="38">
        <v>1.75</v>
      </c>
      <c r="M339" s="30">
        <v>5</v>
      </c>
      <c r="N339" s="16">
        <f t="shared" si="40"/>
        <v>3.9856886000000005</v>
      </c>
      <c r="O339" s="13">
        <f t="shared" si="41"/>
        <v>30.664131600000001</v>
      </c>
    </row>
    <row r="340" spans="1:15" s="3" customFormat="1" x14ac:dyDescent="0.3">
      <c r="A340" s="34"/>
      <c r="B340" s="34"/>
      <c r="C340" s="34"/>
      <c r="D340" s="34"/>
      <c r="E340" s="34"/>
      <c r="F340" s="34"/>
      <c r="G340" s="34" t="s">
        <v>8</v>
      </c>
      <c r="H340" s="34">
        <f>AVERAGE(H328:H339)</f>
        <v>49.269402128023245</v>
      </c>
      <c r="I340" s="34"/>
      <c r="J340" s="34"/>
      <c r="K340" s="34">
        <f>AVERAGE(K328:K339)</f>
        <v>28.080485249999995</v>
      </c>
      <c r="L340" s="34"/>
      <c r="M340" s="34"/>
      <c r="N340" s="34">
        <f>AVERAGE(N328:N339)</f>
        <v>4.6160970499999996</v>
      </c>
      <c r="O340" s="34">
        <f>AVERAGE(O328:O339)</f>
        <v>34.446582300000003</v>
      </c>
    </row>
    <row r="341" spans="1:15" x14ac:dyDescent="0.3">
      <c r="A341" s="40">
        <v>44619</v>
      </c>
      <c r="B341" s="20">
        <v>0.27083333333333331</v>
      </c>
      <c r="C341" s="21">
        <v>39.6</v>
      </c>
      <c r="D341" s="33">
        <v>33.200000000000003</v>
      </c>
      <c r="E341" s="7">
        <v>26</v>
      </c>
      <c r="F341" s="11">
        <f t="shared" si="35"/>
        <v>6.3999999999999986</v>
      </c>
      <c r="G341" s="23">
        <f t="shared" si="36"/>
        <v>7.2000000000000028</v>
      </c>
      <c r="H341" s="24">
        <f t="shared" si="37"/>
        <v>47.058823529411747</v>
      </c>
      <c r="I341" s="25">
        <v>2688</v>
      </c>
      <c r="J341" s="26">
        <f t="shared" si="38"/>
        <v>6.3999999999999986</v>
      </c>
      <c r="K341" s="21">
        <f t="shared" si="39"/>
        <v>26.320895999999994</v>
      </c>
      <c r="L341" s="38">
        <v>1.75</v>
      </c>
      <c r="M341" s="30">
        <v>5</v>
      </c>
      <c r="N341" s="16">
        <f t="shared" si="40"/>
        <v>4.2641791999999992</v>
      </c>
      <c r="O341" s="13">
        <f t="shared" si="41"/>
        <v>32.335075199999991</v>
      </c>
    </row>
    <row r="342" spans="1:15" x14ac:dyDescent="0.3">
      <c r="A342" s="41"/>
      <c r="B342" s="20">
        <v>0.35416666666666669</v>
      </c>
      <c r="C342" s="21">
        <v>40</v>
      </c>
      <c r="D342" s="33">
        <v>33</v>
      </c>
      <c r="E342" s="7">
        <v>26</v>
      </c>
      <c r="F342" s="11">
        <f t="shared" si="35"/>
        <v>7</v>
      </c>
      <c r="G342" s="23">
        <f t="shared" si="36"/>
        <v>7</v>
      </c>
      <c r="H342" s="24">
        <f t="shared" si="37"/>
        <v>50</v>
      </c>
      <c r="I342" s="25">
        <v>2702</v>
      </c>
      <c r="J342" s="26">
        <f t="shared" si="38"/>
        <v>7</v>
      </c>
      <c r="K342" s="21">
        <f t="shared" si="39"/>
        <v>28.938420000000001</v>
      </c>
      <c r="L342" s="38">
        <v>1.75</v>
      </c>
      <c r="M342" s="30">
        <v>5</v>
      </c>
      <c r="N342" s="16">
        <f t="shared" si="40"/>
        <v>4.7876840000000005</v>
      </c>
      <c r="O342" s="13">
        <f t="shared" si="41"/>
        <v>35.476103999999999</v>
      </c>
    </row>
    <row r="343" spans="1:15" x14ac:dyDescent="0.3">
      <c r="A343" s="41"/>
      <c r="B343" s="20">
        <v>0.4375</v>
      </c>
      <c r="C343" s="21">
        <v>39.9</v>
      </c>
      <c r="D343" s="33">
        <v>33.5</v>
      </c>
      <c r="E343" s="7">
        <v>26</v>
      </c>
      <c r="F343" s="11">
        <f t="shared" si="35"/>
        <v>6.3999999999999986</v>
      </c>
      <c r="G343" s="23">
        <f t="shared" si="36"/>
        <v>7.5</v>
      </c>
      <c r="H343" s="24">
        <f t="shared" si="37"/>
        <v>46.043165467625897</v>
      </c>
      <c r="I343" s="25">
        <v>2645</v>
      </c>
      <c r="J343" s="26">
        <f t="shared" si="38"/>
        <v>6.3999999999999986</v>
      </c>
      <c r="K343" s="21">
        <f t="shared" si="39"/>
        <v>25.899839999999994</v>
      </c>
      <c r="L343" s="38">
        <v>1.75</v>
      </c>
      <c r="M343" s="30">
        <v>5</v>
      </c>
      <c r="N343" s="16">
        <f t="shared" si="40"/>
        <v>4.1799679999999988</v>
      </c>
      <c r="O343" s="13">
        <f t="shared" si="41"/>
        <v>31.829807999999993</v>
      </c>
    </row>
    <row r="344" spans="1:15" x14ac:dyDescent="0.3">
      <c r="A344" s="41"/>
      <c r="B344" s="20">
        <v>0.52083333333333337</v>
      </c>
      <c r="C344" s="21">
        <v>39.9</v>
      </c>
      <c r="D344" s="33">
        <v>33.6</v>
      </c>
      <c r="E344" s="7">
        <v>26</v>
      </c>
      <c r="F344" s="11">
        <f t="shared" si="35"/>
        <v>6.2999999999999972</v>
      </c>
      <c r="G344" s="23">
        <f t="shared" si="36"/>
        <v>7.6000000000000014</v>
      </c>
      <c r="H344" s="24">
        <f t="shared" si="37"/>
        <v>45.323741007194229</v>
      </c>
      <c r="I344" s="25">
        <v>2686</v>
      </c>
      <c r="J344" s="26">
        <f t="shared" si="38"/>
        <v>6.2999999999999972</v>
      </c>
      <c r="K344" s="21">
        <f t="shared" si="39"/>
        <v>25.890353999999984</v>
      </c>
      <c r="L344" s="38">
        <v>1.75</v>
      </c>
      <c r="M344" s="30">
        <v>5</v>
      </c>
      <c r="N344" s="16">
        <f t="shared" si="40"/>
        <v>4.1780707999999969</v>
      </c>
      <c r="O344" s="13">
        <f t="shared" si="41"/>
        <v>31.818424799999981</v>
      </c>
    </row>
    <row r="345" spans="1:15" x14ac:dyDescent="0.3">
      <c r="A345" s="41"/>
      <c r="B345" s="20">
        <v>0.60416666666666663</v>
      </c>
      <c r="C345" s="21">
        <v>40.1</v>
      </c>
      <c r="D345" s="33">
        <v>33.5</v>
      </c>
      <c r="E345" s="7">
        <v>26</v>
      </c>
      <c r="F345" s="11">
        <f t="shared" si="35"/>
        <v>6.6000000000000014</v>
      </c>
      <c r="G345" s="23">
        <f t="shared" si="36"/>
        <v>7.5</v>
      </c>
      <c r="H345" s="24">
        <f t="shared" si="37"/>
        <v>46.808510638297882</v>
      </c>
      <c r="I345" s="25">
        <v>2718</v>
      </c>
      <c r="J345" s="26">
        <f t="shared" si="38"/>
        <v>6.6000000000000014</v>
      </c>
      <c r="K345" s="21">
        <f t="shared" si="39"/>
        <v>27.446364000000003</v>
      </c>
      <c r="L345" s="38">
        <v>1.75</v>
      </c>
      <c r="M345" s="30">
        <v>5</v>
      </c>
      <c r="N345" s="16">
        <f t="shared" si="40"/>
        <v>4.4892728000000002</v>
      </c>
      <c r="O345" s="13">
        <f t="shared" si="41"/>
        <v>33.685636800000005</v>
      </c>
    </row>
    <row r="346" spans="1:15" x14ac:dyDescent="0.3">
      <c r="A346" s="41"/>
      <c r="B346" s="20">
        <v>0.6875</v>
      </c>
      <c r="C346" s="21">
        <v>39.9</v>
      </c>
      <c r="D346" s="33">
        <v>33.5</v>
      </c>
      <c r="E346" s="7">
        <v>26</v>
      </c>
      <c r="F346" s="11">
        <f t="shared" si="35"/>
        <v>6.3999999999999986</v>
      </c>
      <c r="G346" s="23">
        <f t="shared" si="36"/>
        <v>7.5</v>
      </c>
      <c r="H346" s="24">
        <f t="shared" si="37"/>
        <v>46.043165467625897</v>
      </c>
      <c r="I346" s="25">
        <v>2910</v>
      </c>
      <c r="J346" s="26">
        <f t="shared" si="38"/>
        <v>6.3999999999999986</v>
      </c>
      <c r="K346" s="21">
        <f t="shared" si="39"/>
        <v>28.49471999999999</v>
      </c>
      <c r="L346" s="38">
        <v>1.75</v>
      </c>
      <c r="M346" s="30">
        <v>5</v>
      </c>
      <c r="N346" s="16">
        <f t="shared" si="40"/>
        <v>4.6989439999999982</v>
      </c>
      <c r="O346" s="13">
        <f t="shared" si="41"/>
        <v>34.943663999999991</v>
      </c>
    </row>
    <row r="347" spans="1:15" x14ac:dyDescent="0.3">
      <c r="A347" s="41"/>
      <c r="B347" s="20">
        <v>0.77083333333333337</v>
      </c>
      <c r="C347" s="21">
        <v>38.6</v>
      </c>
      <c r="D347" s="33">
        <v>33.299999999999997</v>
      </c>
      <c r="E347" s="7">
        <v>26</v>
      </c>
      <c r="F347" s="11">
        <f t="shared" si="35"/>
        <v>5.3000000000000043</v>
      </c>
      <c r="G347" s="23">
        <f t="shared" si="36"/>
        <v>7.2999999999999972</v>
      </c>
      <c r="H347" s="24">
        <f t="shared" si="37"/>
        <v>42.063492063492092</v>
      </c>
      <c r="I347" s="25">
        <v>2763</v>
      </c>
      <c r="J347" s="26">
        <f t="shared" si="38"/>
        <v>5.3000000000000043</v>
      </c>
      <c r="K347" s="21">
        <f t="shared" si="39"/>
        <v>22.405167000000016</v>
      </c>
      <c r="L347" s="38">
        <v>1.75</v>
      </c>
      <c r="M347" s="30">
        <v>5</v>
      </c>
      <c r="N347" s="16">
        <f t="shared" si="40"/>
        <v>3.4810334000000029</v>
      </c>
      <c r="O347" s="13">
        <f t="shared" si="41"/>
        <v>27.636200400000021</v>
      </c>
    </row>
    <row r="348" spans="1:15" x14ac:dyDescent="0.3">
      <c r="A348" s="41"/>
      <c r="B348" s="20">
        <v>0.85416666666666663</v>
      </c>
      <c r="C348" s="21">
        <v>38.5</v>
      </c>
      <c r="D348" s="33">
        <v>32</v>
      </c>
      <c r="E348" s="7">
        <v>26</v>
      </c>
      <c r="F348" s="11">
        <f t="shared" si="35"/>
        <v>6.5</v>
      </c>
      <c r="G348" s="23">
        <f t="shared" si="36"/>
        <v>6</v>
      </c>
      <c r="H348" s="24">
        <f t="shared" si="37"/>
        <v>52</v>
      </c>
      <c r="I348" s="25">
        <v>2836</v>
      </c>
      <c r="J348" s="26">
        <f t="shared" si="38"/>
        <v>6.5</v>
      </c>
      <c r="K348" s="21">
        <f t="shared" si="39"/>
        <v>28.20402</v>
      </c>
      <c r="L348" s="38">
        <v>1.75</v>
      </c>
      <c r="M348" s="30">
        <v>5</v>
      </c>
      <c r="N348" s="16">
        <f t="shared" si="40"/>
        <v>4.6408040000000002</v>
      </c>
      <c r="O348" s="13">
        <f t="shared" si="41"/>
        <v>34.594824000000003</v>
      </c>
    </row>
    <row r="349" spans="1:15" x14ac:dyDescent="0.3">
      <c r="A349" s="41"/>
      <c r="B349" s="20">
        <v>0.9375</v>
      </c>
      <c r="C349" s="21">
        <v>39</v>
      </c>
      <c r="D349" s="33">
        <v>31.9</v>
      </c>
      <c r="E349" s="7">
        <v>26</v>
      </c>
      <c r="F349" s="11">
        <f t="shared" si="35"/>
        <v>7.1000000000000014</v>
      </c>
      <c r="G349" s="23">
        <f t="shared" si="36"/>
        <v>5.8999999999999986</v>
      </c>
      <c r="H349" s="24">
        <f t="shared" si="37"/>
        <v>54.61538461538462</v>
      </c>
      <c r="I349" s="25">
        <v>2802</v>
      </c>
      <c r="J349" s="26">
        <f t="shared" si="38"/>
        <v>7.1000000000000014</v>
      </c>
      <c r="K349" s="21">
        <f t="shared" si="39"/>
        <v>30.438126</v>
      </c>
      <c r="L349" s="38">
        <v>1.75</v>
      </c>
      <c r="M349" s="30">
        <v>5</v>
      </c>
      <c r="N349" s="16">
        <f t="shared" si="40"/>
        <v>5.0876251999999997</v>
      </c>
      <c r="O349" s="13">
        <f t="shared" si="41"/>
        <v>37.275751199999995</v>
      </c>
    </row>
    <row r="350" spans="1:15" x14ac:dyDescent="0.3">
      <c r="A350" s="41"/>
      <c r="B350" s="20">
        <v>2.0833333333333332E-2</v>
      </c>
      <c r="C350" s="21">
        <v>38.700000000000003</v>
      </c>
      <c r="D350" s="33">
        <v>32.299999999999997</v>
      </c>
      <c r="E350" s="7">
        <v>26</v>
      </c>
      <c r="F350" s="11">
        <f t="shared" si="35"/>
        <v>6.4000000000000057</v>
      </c>
      <c r="G350" s="23">
        <f t="shared" si="36"/>
        <v>6.2999999999999972</v>
      </c>
      <c r="H350" s="24">
        <f t="shared" si="37"/>
        <v>50.393700787401606</v>
      </c>
      <c r="I350" s="25">
        <v>2779</v>
      </c>
      <c r="J350" s="26">
        <f t="shared" si="38"/>
        <v>6.4000000000000057</v>
      </c>
      <c r="K350" s="21">
        <f t="shared" si="39"/>
        <v>27.21196800000002</v>
      </c>
      <c r="L350" s="38">
        <v>1.75</v>
      </c>
      <c r="M350" s="30">
        <v>5</v>
      </c>
      <c r="N350" s="16">
        <f t="shared" si="40"/>
        <v>4.4423936000000044</v>
      </c>
      <c r="O350" s="13">
        <f t="shared" si="41"/>
        <v>33.404361600000023</v>
      </c>
    </row>
    <row r="351" spans="1:15" x14ac:dyDescent="0.3">
      <c r="A351" s="41"/>
      <c r="B351" s="20">
        <v>0.10416666666666667</v>
      </c>
      <c r="C351" s="21">
        <v>39.200000000000003</v>
      </c>
      <c r="D351" s="33">
        <v>32.200000000000003</v>
      </c>
      <c r="E351" s="7">
        <v>26</v>
      </c>
      <c r="F351" s="11">
        <f t="shared" si="35"/>
        <v>7</v>
      </c>
      <c r="G351" s="23">
        <f t="shared" si="36"/>
        <v>6.2000000000000028</v>
      </c>
      <c r="H351" s="24">
        <f t="shared" si="37"/>
        <v>53.030303030303017</v>
      </c>
      <c r="I351" s="25">
        <v>2769</v>
      </c>
      <c r="J351" s="26">
        <f t="shared" si="38"/>
        <v>7</v>
      </c>
      <c r="K351" s="21">
        <f t="shared" si="39"/>
        <v>29.655989999999996</v>
      </c>
      <c r="L351" s="38">
        <v>1.75</v>
      </c>
      <c r="M351" s="30">
        <v>5</v>
      </c>
      <c r="N351" s="16">
        <f t="shared" si="40"/>
        <v>4.9311979999999993</v>
      </c>
      <c r="O351" s="13">
        <f t="shared" si="41"/>
        <v>36.337187999999998</v>
      </c>
    </row>
    <row r="352" spans="1:15" x14ac:dyDescent="0.3">
      <c r="A352" s="41"/>
      <c r="B352" s="20">
        <v>0.1875</v>
      </c>
      <c r="C352" s="21">
        <v>38.6</v>
      </c>
      <c r="D352" s="33">
        <v>32.5</v>
      </c>
      <c r="E352" s="7">
        <v>26</v>
      </c>
      <c r="F352" s="11">
        <f t="shared" si="35"/>
        <v>6.1000000000000014</v>
      </c>
      <c r="G352" s="23">
        <f t="shared" si="36"/>
        <v>6.5</v>
      </c>
      <c r="H352" s="24">
        <f t="shared" si="37"/>
        <v>48.412698412698418</v>
      </c>
      <c r="I352" s="25">
        <v>2765</v>
      </c>
      <c r="J352" s="26">
        <f t="shared" si="38"/>
        <v>6.1000000000000014</v>
      </c>
      <c r="K352" s="21">
        <f t="shared" si="39"/>
        <v>25.805745000000002</v>
      </c>
      <c r="L352" s="38">
        <v>1.75</v>
      </c>
      <c r="M352" s="30">
        <v>5</v>
      </c>
      <c r="N352" s="16">
        <f t="shared" si="40"/>
        <v>4.161149</v>
      </c>
      <c r="O352" s="13">
        <f t="shared" si="41"/>
        <v>31.716894000000003</v>
      </c>
    </row>
    <row r="353" spans="1:15" s="3" customFormat="1" x14ac:dyDescent="0.3">
      <c r="A353" s="34"/>
      <c r="B353" s="34"/>
      <c r="C353" s="34"/>
      <c r="D353" s="34"/>
      <c r="E353" s="34"/>
      <c r="F353" s="34"/>
      <c r="G353" s="34" t="s">
        <v>8</v>
      </c>
      <c r="H353" s="34">
        <f>AVERAGE(H341:H352)</f>
        <v>48.482748751619624</v>
      </c>
      <c r="I353" s="34"/>
      <c r="J353" s="34"/>
      <c r="K353" s="34">
        <f>AVERAGE(K341:K352)</f>
        <v>27.225967499999999</v>
      </c>
      <c r="L353" s="34"/>
      <c r="M353" s="34"/>
      <c r="N353" s="34">
        <f>AVERAGE(N341:N352)</f>
        <v>4.4451935000000002</v>
      </c>
      <c r="O353" s="34">
        <f>AVERAGE(O341:O352)</f>
        <v>33.421161000000005</v>
      </c>
    </row>
    <row r="354" spans="1:15" x14ac:dyDescent="0.3">
      <c r="A354" s="40">
        <v>44620</v>
      </c>
      <c r="B354" s="20">
        <v>0.27083333333333331</v>
      </c>
      <c r="C354" s="21">
        <v>38.6</v>
      </c>
      <c r="D354" s="33">
        <v>31</v>
      </c>
      <c r="E354" s="7">
        <v>26</v>
      </c>
      <c r="F354" s="11">
        <f t="shared" si="35"/>
        <v>7.6000000000000014</v>
      </c>
      <c r="G354" s="23">
        <f t="shared" si="36"/>
        <v>5</v>
      </c>
      <c r="H354" s="24">
        <f t="shared" si="37"/>
        <v>60.317460317460323</v>
      </c>
      <c r="I354" s="25">
        <v>2781</v>
      </c>
      <c r="J354" s="26">
        <f t="shared" si="38"/>
        <v>7.6000000000000014</v>
      </c>
      <c r="K354" s="21">
        <f t="shared" si="39"/>
        <v>32.337468000000008</v>
      </c>
      <c r="L354" s="38">
        <v>1.75</v>
      </c>
      <c r="M354" s="30">
        <v>5</v>
      </c>
      <c r="N354" s="16">
        <f t="shared" si="40"/>
        <v>5.4674936000000018</v>
      </c>
      <c r="O354" s="13">
        <f t="shared" si="41"/>
        <v>39.554961600000013</v>
      </c>
    </row>
    <row r="355" spans="1:15" x14ac:dyDescent="0.3">
      <c r="A355" s="41"/>
      <c r="B355" s="20">
        <v>0.35416666666666669</v>
      </c>
      <c r="C355" s="21">
        <v>39.1</v>
      </c>
      <c r="D355" s="33">
        <v>32</v>
      </c>
      <c r="E355" s="7">
        <v>26</v>
      </c>
      <c r="F355" s="11">
        <f t="shared" si="35"/>
        <v>7.1000000000000014</v>
      </c>
      <c r="G355" s="23">
        <f t="shared" si="36"/>
        <v>6</v>
      </c>
      <c r="H355" s="24">
        <f t="shared" si="37"/>
        <v>54.198473282442748</v>
      </c>
      <c r="I355" s="25">
        <v>2801</v>
      </c>
      <c r="J355" s="26">
        <f t="shared" si="38"/>
        <v>7.1000000000000014</v>
      </c>
      <c r="K355" s="21">
        <f t="shared" si="39"/>
        <v>30.427263000000004</v>
      </c>
      <c r="L355" s="38">
        <v>1.75</v>
      </c>
      <c r="M355" s="30">
        <v>5</v>
      </c>
      <c r="N355" s="16">
        <f t="shared" si="40"/>
        <v>5.0854526000000009</v>
      </c>
      <c r="O355" s="13">
        <f t="shared" si="41"/>
        <v>37.262715600000007</v>
      </c>
    </row>
    <row r="356" spans="1:15" x14ac:dyDescent="0.3">
      <c r="A356" s="41"/>
      <c r="B356" s="20">
        <v>0.4375</v>
      </c>
      <c r="C356" s="21">
        <v>40</v>
      </c>
      <c r="D356" s="33">
        <v>33</v>
      </c>
      <c r="E356" s="7">
        <v>26</v>
      </c>
      <c r="F356" s="11">
        <f t="shared" si="35"/>
        <v>7</v>
      </c>
      <c r="G356" s="23">
        <f t="shared" si="36"/>
        <v>7</v>
      </c>
      <c r="H356" s="24">
        <f t="shared" si="37"/>
        <v>50</v>
      </c>
      <c r="I356" s="25">
        <v>2822</v>
      </c>
      <c r="J356" s="26">
        <f t="shared" si="38"/>
        <v>7</v>
      </c>
      <c r="K356" s="21">
        <f t="shared" si="39"/>
        <v>30.22362</v>
      </c>
      <c r="L356" s="38">
        <v>1.75</v>
      </c>
      <c r="M356" s="30">
        <v>5</v>
      </c>
      <c r="N356" s="16">
        <f t="shared" si="40"/>
        <v>5.0447240000000004</v>
      </c>
      <c r="O356" s="13">
        <f t="shared" si="41"/>
        <v>37.018343999999999</v>
      </c>
    </row>
    <row r="357" spans="1:15" x14ac:dyDescent="0.3">
      <c r="A357" s="41"/>
      <c r="B357" s="20">
        <v>0.52083333333333337</v>
      </c>
      <c r="C357" s="21">
        <v>39.1</v>
      </c>
      <c r="D357" s="33">
        <v>32</v>
      </c>
      <c r="E357" s="7">
        <v>26</v>
      </c>
      <c r="F357" s="11">
        <f t="shared" si="35"/>
        <v>7.1000000000000014</v>
      </c>
      <c r="G357" s="23">
        <f t="shared" si="36"/>
        <v>6</v>
      </c>
      <c r="H357" s="24">
        <f t="shared" si="37"/>
        <v>54.198473282442748</v>
      </c>
      <c r="I357" s="25">
        <v>2761</v>
      </c>
      <c r="J357" s="26">
        <f t="shared" si="38"/>
        <v>7.1000000000000014</v>
      </c>
      <c r="K357" s="21">
        <f t="shared" si="39"/>
        <v>29.992743000000008</v>
      </c>
      <c r="L357" s="38">
        <v>1.75</v>
      </c>
      <c r="M357" s="30">
        <v>5</v>
      </c>
      <c r="N357" s="16">
        <f t="shared" si="40"/>
        <v>4.9985486000000012</v>
      </c>
      <c r="O357" s="13">
        <f t="shared" si="41"/>
        <v>36.741291600000011</v>
      </c>
    </row>
    <row r="358" spans="1:15" x14ac:dyDescent="0.3">
      <c r="A358" s="41"/>
      <c r="B358" s="20">
        <v>0.60416666666666663</v>
      </c>
      <c r="C358" s="21">
        <v>39.6</v>
      </c>
      <c r="D358" s="33">
        <v>33</v>
      </c>
      <c r="E358" s="7">
        <v>26</v>
      </c>
      <c r="F358" s="11">
        <f t="shared" si="35"/>
        <v>6.6000000000000014</v>
      </c>
      <c r="G358" s="23">
        <f t="shared" si="36"/>
        <v>7</v>
      </c>
      <c r="H358" s="24">
        <f t="shared" si="37"/>
        <v>48.529411764705884</v>
      </c>
      <c r="I358" s="25">
        <v>2725</v>
      </c>
      <c r="J358" s="26">
        <f t="shared" si="38"/>
        <v>6.6000000000000014</v>
      </c>
      <c r="K358" s="21">
        <f t="shared" si="39"/>
        <v>27.517050000000005</v>
      </c>
      <c r="L358" s="38">
        <v>1.75</v>
      </c>
      <c r="M358" s="30">
        <v>5</v>
      </c>
      <c r="N358" s="16">
        <f t="shared" si="40"/>
        <v>4.5034100000000006</v>
      </c>
      <c r="O358" s="13">
        <f t="shared" si="41"/>
        <v>33.770460000000007</v>
      </c>
    </row>
    <row r="359" spans="1:15" x14ac:dyDescent="0.3">
      <c r="A359" s="41"/>
      <c r="B359" s="20">
        <v>0.6875</v>
      </c>
      <c r="C359" s="21">
        <v>39.200000000000003</v>
      </c>
      <c r="D359" s="33">
        <v>32.6</v>
      </c>
      <c r="E359" s="7">
        <v>26</v>
      </c>
      <c r="F359" s="11">
        <f t="shared" si="35"/>
        <v>6.6000000000000014</v>
      </c>
      <c r="G359" s="23">
        <f t="shared" si="36"/>
        <v>6.6000000000000014</v>
      </c>
      <c r="H359" s="24">
        <f t="shared" si="37"/>
        <v>50</v>
      </c>
      <c r="I359" s="25">
        <v>2785</v>
      </c>
      <c r="J359" s="26">
        <f t="shared" si="38"/>
        <v>6.6000000000000014</v>
      </c>
      <c r="K359" s="21">
        <f t="shared" si="39"/>
        <v>28.122930000000007</v>
      </c>
      <c r="L359" s="38">
        <v>1.75</v>
      </c>
      <c r="M359" s="30">
        <v>5</v>
      </c>
      <c r="N359" s="16">
        <f t="shared" si="40"/>
        <v>4.6245860000000016</v>
      </c>
      <c r="O359" s="13">
        <f t="shared" si="41"/>
        <v>34.497516000000012</v>
      </c>
    </row>
    <row r="360" spans="1:15" x14ac:dyDescent="0.3">
      <c r="A360" s="41"/>
      <c r="B360" s="20">
        <v>0.77083333333333337</v>
      </c>
      <c r="C360" s="21">
        <v>38.700000000000003</v>
      </c>
      <c r="D360" s="33">
        <v>32</v>
      </c>
      <c r="E360" s="7">
        <v>26</v>
      </c>
      <c r="F360" s="11">
        <f t="shared" si="35"/>
        <v>6.7000000000000028</v>
      </c>
      <c r="G360" s="23">
        <f t="shared" si="36"/>
        <v>6</v>
      </c>
      <c r="H360" s="24">
        <f t="shared" si="37"/>
        <v>52.755905511811029</v>
      </c>
      <c r="I360" s="25">
        <v>2849</v>
      </c>
      <c r="J360" s="26">
        <f t="shared" si="38"/>
        <v>6.7000000000000028</v>
      </c>
      <c r="K360" s="21">
        <f t="shared" si="39"/>
        <v>29.205099000000008</v>
      </c>
      <c r="L360" s="38">
        <v>1.75</v>
      </c>
      <c r="M360" s="30">
        <v>5</v>
      </c>
      <c r="N360" s="16">
        <f t="shared" si="40"/>
        <v>4.8410198000000015</v>
      </c>
      <c r="O360" s="13">
        <f t="shared" si="41"/>
        <v>35.796118800000009</v>
      </c>
    </row>
    <row r="361" spans="1:15" x14ac:dyDescent="0.3">
      <c r="A361" s="41"/>
      <c r="B361" s="20">
        <v>0.85416666666666663</v>
      </c>
      <c r="C361" s="21">
        <v>38.6</v>
      </c>
      <c r="D361" s="33">
        <v>31.9</v>
      </c>
      <c r="E361" s="7">
        <v>26</v>
      </c>
      <c r="F361" s="11">
        <f t="shared" si="35"/>
        <v>6.7000000000000028</v>
      </c>
      <c r="G361" s="23">
        <f t="shared" si="36"/>
        <v>5.8999999999999986</v>
      </c>
      <c r="H361" s="24">
        <f t="shared" si="37"/>
        <v>53.174603174603199</v>
      </c>
      <c r="I361" s="25">
        <v>2718</v>
      </c>
      <c r="J361" s="26">
        <f t="shared" si="38"/>
        <v>6.7000000000000028</v>
      </c>
      <c r="K361" s="21">
        <f t="shared" si="39"/>
        <v>27.862218000000009</v>
      </c>
      <c r="L361" s="38">
        <v>1.75</v>
      </c>
      <c r="M361" s="30">
        <v>5</v>
      </c>
      <c r="N361" s="16">
        <f t="shared" si="40"/>
        <v>4.5724436000000015</v>
      </c>
      <c r="O361" s="13">
        <f t="shared" si="41"/>
        <v>34.184661600000013</v>
      </c>
    </row>
    <row r="362" spans="1:15" x14ac:dyDescent="0.3">
      <c r="A362" s="41"/>
      <c r="B362" s="20">
        <v>0.9375</v>
      </c>
      <c r="C362" s="21">
        <v>37.799999999999997</v>
      </c>
      <c r="D362" s="33">
        <v>31.4</v>
      </c>
      <c r="E362" s="7">
        <v>26</v>
      </c>
      <c r="F362" s="11">
        <f t="shared" si="35"/>
        <v>6.3999999999999986</v>
      </c>
      <c r="G362" s="23">
        <f t="shared" si="36"/>
        <v>5.3999999999999986</v>
      </c>
      <c r="H362" s="24">
        <f t="shared" si="37"/>
        <v>54.237288135593218</v>
      </c>
      <c r="I362" s="25">
        <v>2791</v>
      </c>
      <c r="J362" s="26">
        <f t="shared" si="38"/>
        <v>6.3999999999999986</v>
      </c>
      <c r="K362" s="21">
        <f t="shared" si="39"/>
        <v>27.329471999999992</v>
      </c>
      <c r="L362" s="38">
        <v>1.75</v>
      </c>
      <c r="M362" s="30">
        <v>5</v>
      </c>
      <c r="N362" s="16">
        <f t="shared" si="40"/>
        <v>4.465894399999998</v>
      </c>
      <c r="O362" s="13">
        <f t="shared" si="41"/>
        <v>33.545366399999992</v>
      </c>
    </row>
    <row r="363" spans="1:15" x14ac:dyDescent="0.3">
      <c r="A363" s="41"/>
      <c r="B363" s="20">
        <v>2.0833333333333332E-2</v>
      </c>
      <c r="C363" s="21">
        <v>37.4</v>
      </c>
      <c r="D363" s="33">
        <v>31.1</v>
      </c>
      <c r="E363" s="7">
        <v>26</v>
      </c>
      <c r="F363" s="11">
        <f t="shared" si="35"/>
        <v>6.2999999999999972</v>
      </c>
      <c r="G363" s="23">
        <f t="shared" si="36"/>
        <v>5.1000000000000014</v>
      </c>
      <c r="H363" s="24">
        <f t="shared" si="37"/>
        <v>55.263157894736828</v>
      </c>
      <c r="I363" s="25">
        <v>2677</v>
      </c>
      <c r="J363" s="26">
        <f t="shared" si="38"/>
        <v>6.2999999999999972</v>
      </c>
      <c r="K363" s="21">
        <f t="shared" si="39"/>
        <v>25.803602999999985</v>
      </c>
      <c r="L363" s="38">
        <v>1.75</v>
      </c>
      <c r="M363" s="30">
        <v>5</v>
      </c>
      <c r="N363" s="16">
        <f t="shared" si="40"/>
        <v>4.1607205999999968</v>
      </c>
      <c r="O363" s="13">
        <f t="shared" si="41"/>
        <v>31.714323599999982</v>
      </c>
    </row>
    <row r="364" spans="1:15" x14ac:dyDescent="0.3">
      <c r="A364" s="41"/>
      <c r="B364" s="20">
        <v>0.10416666666666667</v>
      </c>
      <c r="C364" s="21">
        <v>37.6</v>
      </c>
      <c r="D364" s="33">
        <v>31.4</v>
      </c>
      <c r="E364" s="7">
        <v>26</v>
      </c>
      <c r="F364" s="11">
        <f t="shared" si="35"/>
        <v>6.2000000000000028</v>
      </c>
      <c r="G364" s="23">
        <f t="shared" si="36"/>
        <v>5.3999999999999986</v>
      </c>
      <c r="H364" s="24">
        <f t="shared" si="37"/>
        <v>53.448275862068982</v>
      </c>
      <c r="I364" s="25">
        <v>2766</v>
      </c>
      <c r="J364" s="26">
        <f t="shared" si="38"/>
        <v>6.2000000000000028</v>
      </c>
      <c r="K364" s="21">
        <f t="shared" si="39"/>
        <v>26.238276000000013</v>
      </c>
      <c r="L364" s="38">
        <v>1.75</v>
      </c>
      <c r="M364" s="30">
        <v>5</v>
      </c>
      <c r="N364" s="16">
        <f t="shared" si="40"/>
        <v>4.2476552000000023</v>
      </c>
      <c r="O364" s="13">
        <f t="shared" si="41"/>
        <v>32.235931200000017</v>
      </c>
    </row>
    <row r="365" spans="1:15" x14ac:dyDescent="0.3">
      <c r="A365" s="41"/>
      <c r="B365" s="20">
        <v>0.1875</v>
      </c>
      <c r="C365" s="21">
        <v>37.5</v>
      </c>
      <c r="D365" s="33">
        <v>31.3</v>
      </c>
      <c r="E365" s="7">
        <v>26</v>
      </c>
      <c r="F365" s="11">
        <f t="shared" si="35"/>
        <v>6.1999999999999993</v>
      </c>
      <c r="G365" s="23">
        <f t="shared" si="36"/>
        <v>5.3000000000000007</v>
      </c>
      <c r="H365" s="24">
        <f t="shared" si="37"/>
        <v>53.91304347826086</v>
      </c>
      <c r="I365" s="25">
        <v>2725</v>
      </c>
      <c r="J365" s="26">
        <f t="shared" si="38"/>
        <v>6.1999999999999993</v>
      </c>
      <c r="K365" s="21">
        <f t="shared" si="39"/>
        <v>25.849349999999998</v>
      </c>
      <c r="L365" s="38">
        <v>1.75</v>
      </c>
      <c r="M365" s="30">
        <v>5</v>
      </c>
      <c r="N365" s="16">
        <f t="shared" si="40"/>
        <v>4.1698699999999995</v>
      </c>
      <c r="O365" s="13">
        <f t="shared" si="41"/>
        <v>31.769219999999997</v>
      </c>
    </row>
    <row r="366" spans="1:15" s="3" customFormat="1" x14ac:dyDescent="0.3">
      <c r="A366" s="34"/>
      <c r="B366" s="34"/>
      <c r="C366" s="34"/>
      <c r="D366" s="34"/>
      <c r="E366" s="34"/>
      <c r="F366" s="34"/>
      <c r="G366" s="34" t="s">
        <v>8</v>
      </c>
      <c r="H366" s="34">
        <f>AVERAGE(H354:H365)</f>
        <v>53.336341058677156</v>
      </c>
      <c r="I366" s="34"/>
      <c r="J366" s="34"/>
      <c r="K366" s="34">
        <f>AVERAGE(K354:K365)</f>
        <v>28.409091000000004</v>
      </c>
      <c r="L366" s="34"/>
      <c r="M366" s="34"/>
      <c r="N366" s="34">
        <f>AVERAGE(N354:N365)</f>
        <v>4.6818182000000013</v>
      </c>
      <c r="O366" s="34">
        <f>AVERAGE(O354:O365)</f>
        <v>34.840909200000006</v>
      </c>
    </row>
  </sheetData>
  <autoFilter ref="H2:H366" xr:uid="{FD4920C9-C7FF-42ED-930E-097545B873FB}"/>
  <mergeCells count="16">
    <mergeCell ref="A341:A352"/>
    <mergeCell ref="A354:A365"/>
    <mergeCell ref="A328:A339"/>
    <mergeCell ref="A1:XFD1"/>
    <mergeCell ref="A172:A183"/>
    <mergeCell ref="A198:A209"/>
    <mergeCell ref="A224:A235"/>
    <mergeCell ref="A250:A261"/>
    <mergeCell ref="A276:A287"/>
    <mergeCell ref="A302:A313"/>
    <mergeCell ref="A16:A27"/>
    <mergeCell ref="A42:A53"/>
    <mergeCell ref="A68:A79"/>
    <mergeCell ref="A94:A105"/>
    <mergeCell ref="A120:A131"/>
    <mergeCell ref="A146:A1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1BF0-F40B-42D7-86A5-1C6E8CB034B3}">
  <dimension ref="A1:AG32"/>
  <sheetViews>
    <sheetView tabSelected="1" workbookViewId="0">
      <selection activeCell="AI32" sqref="AI32"/>
    </sheetView>
  </sheetViews>
  <sheetFormatPr defaultRowHeight="14.4" x14ac:dyDescent="0.3"/>
  <sheetData>
    <row r="1" spans="1:33" x14ac:dyDescent="0.3">
      <c r="A1" t="s">
        <v>17</v>
      </c>
      <c r="B1" t="s">
        <v>18</v>
      </c>
      <c r="Q1" s="1" t="s">
        <v>17</v>
      </c>
      <c r="R1" s="2" t="s">
        <v>18</v>
      </c>
      <c r="AF1" s="1" t="s">
        <v>17</v>
      </c>
      <c r="AG1" s="2" t="s">
        <v>18</v>
      </c>
    </row>
    <row r="2" spans="1:33" x14ac:dyDescent="0.3">
      <c r="A2" s="34">
        <v>48.047536685324438</v>
      </c>
      <c r="B2" s="34">
        <v>33.652299999999997</v>
      </c>
      <c r="Q2" s="3">
        <v>48.379966638712972</v>
      </c>
      <c r="R2" s="3">
        <v>32.683936500000002</v>
      </c>
      <c r="AF2" s="3">
        <v>47.577982273293323</v>
      </c>
      <c r="AG2" s="3">
        <v>28.585614750000001</v>
      </c>
    </row>
    <row r="3" spans="1:33" x14ac:dyDescent="0.3">
      <c r="A3" s="34">
        <v>48.771734502408471</v>
      </c>
      <c r="B3" s="34">
        <v>33.556138500000003</v>
      </c>
      <c r="Q3" s="3">
        <v>49.239602066276518</v>
      </c>
      <c r="R3" s="3">
        <v>30.10042949999999</v>
      </c>
      <c r="AF3" s="3">
        <v>49.315838807737748</v>
      </c>
      <c r="AG3" s="3">
        <v>31.419429750000003</v>
      </c>
    </row>
    <row r="4" spans="1:33" x14ac:dyDescent="0.3">
      <c r="A4" s="34">
        <v>48.49490078261848</v>
      </c>
      <c r="B4" s="34">
        <v>33.763236750000004</v>
      </c>
      <c r="Q4" s="3">
        <v>49.583577738433263</v>
      </c>
      <c r="R4" s="3">
        <v>34.21445924999999</v>
      </c>
      <c r="AF4" s="3">
        <v>43.377251360880486</v>
      </c>
      <c r="AG4" s="3">
        <v>27.69201825</v>
      </c>
    </row>
    <row r="5" spans="1:33" x14ac:dyDescent="0.3">
      <c r="A5" s="34">
        <v>47.661033345220709</v>
      </c>
      <c r="B5" s="34">
        <v>31.482248999999999</v>
      </c>
      <c r="Q5" s="3">
        <v>49.296397242522914</v>
      </c>
      <c r="R5" s="3">
        <v>33.324789750000001</v>
      </c>
      <c r="AF5" s="3">
        <v>50.190826028614218</v>
      </c>
      <c r="AG5" s="3">
        <v>30.219389550000002</v>
      </c>
    </row>
    <row r="6" spans="1:33" x14ac:dyDescent="0.3">
      <c r="A6" s="34">
        <v>44.663895000438544</v>
      </c>
      <c r="B6" s="34">
        <v>34.407609000000001</v>
      </c>
      <c r="Q6" s="3">
        <v>50.82703986776658</v>
      </c>
      <c r="R6" s="3">
        <v>30.819044999999999</v>
      </c>
      <c r="AF6" s="3">
        <v>61.905865524727041</v>
      </c>
      <c r="AG6" s="3">
        <v>32.321364749999994</v>
      </c>
    </row>
    <row r="7" spans="1:33" x14ac:dyDescent="0.3">
      <c r="A7" s="34">
        <v>43.727212448288789</v>
      </c>
      <c r="B7" s="34">
        <v>32.795295000000003</v>
      </c>
      <c r="Q7" s="3">
        <v>44.030114703126173</v>
      </c>
      <c r="R7" s="3">
        <v>25.896614249999999</v>
      </c>
      <c r="AF7" s="3">
        <v>53.50389122026391</v>
      </c>
      <c r="AG7" s="3">
        <v>25.508822999999996</v>
      </c>
    </row>
    <row r="8" spans="1:33" x14ac:dyDescent="0.3">
      <c r="A8" s="34">
        <v>43.095982210402696</v>
      </c>
      <c r="B8" s="34">
        <v>33.000761249999996</v>
      </c>
      <c r="Q8" s="3">
        <v>43.85219137253528</v>
      </c>
      <c r="R8" s="3">
        <v>29.320920000000005</v>
      </c>
      <c r="AF8" s="3">
        <v>49.126654582455934</v>
      </c>
      <c r="AG8" s="3">
        <v>27.083014499999994</v>
      </c>
    </row>
    <row r="9" spans="1:33" x14ac:dyDescent="0.3">
      <c r="A9" s="34">
        <v>43.842827988522579</v>
      </c>
      <c r="B9" s="34">
        <v>31.119320250000001</v>
      </c>
      <c r="Q9" s="3">
        <v>48.990620905606058</v>
      </c>
      <c r="R9" s="3">
        <v>34.512617999999996</v>
      </c>
      <c r="AF9" s="3">
        <v>46.896885644995699</v>
      </c>
      <c r="AG9" s="3">
        <v>29.083680749999996</v>
      </c>
    </row>
    <row r="10" spans="1:33" x14ac:dyDescent="0.3">
      <c r="A10" s="34">
        <v>43.595960636066131</v>
      </c>
      <c r="B10" s="34">
        <v>34.137831749999997</v>
      </c>
      <c r="Q10" s="3">
        <v>46.146575320307413</v>
      </c>
      <c r="R10" s="3">
        <v>34.1059695</v>
      </c>
      <c r="AF10" s="3">
        <v>47.919877524022127</v>
      </c>
      <c r="AG10" s="3">
        <v>30.717389249999993</v>
      </c>
    </row>
    <row r="11" spans="1:33" x14ac:dyDescent="0.3">
      <c r="A11" s="34">
        <v>43.964055687818664</v>
      </c>
      <c r="B11" s="34">
        <v>32.425698000000011</v>
      </c>
      <c r="Q11" s="3">
        <v>37.098024570950052</v>
      </c>
      <c r="R11" s="3">
        <v>19.975475999999997</v>
      </c>
      <c r="AF11" s="3">
        <v>41.927536602867065</v>
      </c>
      <c r="AG11" s="3">
        <v>26.986407750000009</v>
      </c>
    </row>
    <row r="12" spans="1:33" x14ac:dyDescent="0.3">
      <c r="A12" s="34">
        <v>43.186180582054156</v>
      </c>
      <c r="B12" s="34">
        <v>33.298422749999993</v>
      </c>
      <c r="Q12" s="3">
        <v>46.56408476064157</v>
      </c>
      <c r="R12" s="3">
        <v>27.936779999999995</v>
      </c>
      <c r="AF12" s="3">
        <v>45.745696773160716</v>
      </c>
      <c r="AG12" s="3">
        <v>29.098865999999987</v>
      </c>
    </row>
    <row r="13" spans="1:33" x14ac:dyDescent="0.3">
      <c r="A13" s="34">
        <v>45.06236202144887</v>
      </c>
      <c r="B13" s="34">
        <v>31.689415636363627</v>
      </c>
      <c r="Q13" s="3">
        <v>47.436078047020366</v>
      </c>
      <c r="R13" s="3">
        <v>35.239865250000001</v>
      </c>
      <c r="AF13" s="3">
        <v>51.79509069910241</v>
      </c>
      <c r="AG13" s="3">
        <v>30.826261500000005</v>
      </c>
    </row>
    <row r="14" spans="1:33" x14ac:dyDescent="0.3">
      <c r="A14" s="34">
        <v>47.319579200883112</v>
      </c>
      <c r="B14" s="34">
        <v>34.174322249999996</v>
      </c>
      <c r="Q14" s="3">
        <v>44.579865811448656</v>
      </c>
      <c r="R14" s="3">
        <v>31.509661499999996</v>
      </c>
      <c r="AF14" s="3">
        <v>51.191572437202815</v>
      </c>
      <c r="AG14" s="3">
        <v>30.013092</v>
      </c>
    </row>
    <row r="15" spans="1:33" x14ac:dyDescent="0.3">
      <c r="A15" s="34">
        <v>49.676495995743174</v>
      </c>
      <c r="B15" s="34">
        <v>27.797243999999996</v>
      </c>
      <c r="Q15" s="3">
        <v>46.17239045732552</v>
      </c>
      <c r="R15" s="3">
        <v>34.618404749999989</v>
      </c>
      <c r="AF15" s="3">
        <v>46.754153366944372</v>
      </c>
      <c r="AG15" s="3">
        <v>27.547433250000001</v>
      </c>
    </row>
    <row r="16" spans="1:33" x14ac:dyDescent="0.3">
      <c r="A16" s="34">
        <v>51.216212764125402</v>
      </c>
      <c r="B16" s="34">
        <v>31.709785500000006</v>
      </c>
      <c r="Q16" s="3">
        <v>47.706776264156048</v>
      </c>
      <c r="R16" s="3">
        <v>35.899231499999992</v>
      </c>
      <c r="AF16" s="3">
        <v>48.704364798808747</v>
      </c>
      <c r="AG16" s="3">
        <v>28.549430249999997</v>
      </c>
    </row>
    <row r="17" spans="1:33" x14ac:dyDescent="0.3">
      <c r="A17" s="34">
        <v>50.590559110376077</v>
      </c>
      <c r="B17" s="34">
        <v>30.784900499999992</v>
      </c>
      <c r="Q17" s="3">
        <v>47.231700426365855</v>
      </c>
      <c r="R17" s="3">
        <v>35.876230499999998</v>
      </c>
      <c r="AF17" s="3">
        <v>48.184564546600633</v>
      </c>
      <c r="AG17" s="3">
        <v>27.872073749999998</v>
      </c>
    </row>
    <row r="18" spans="1:33" x14ac:dyDescent="0.3">
      <c r="A18" s="34">
        <v>53.355760054803341</v>
      </c>
      <c r="B18" s="34">
        <v>32.519907749999994</v>
      </c>
      <c r="Q18" s="3">
        <v>48.221219907095097</v>
      </c>
      <c r="R18" s="3">
        <v>34.908887999999983</v>
      </c>
      <c r="AF18" s="3">
        <v>45.743733875444804</v>
      </c>
      <c r="AG18" s="3">
        <v>28.738270499999995</v>
      </c>
    </row>
    <row r="19" spans="1:33" x14ac:dyDescent="0.3">
      <c r="A19" s="34">
        <v>55.678080233621408</v>
      </c>
      <c r="B19" s="34">
        <v>32.355496499999994</v>
      </c>
      <c r="Q19" s="3">
        <v>50.144039134388898</v>
      </c>
      <c r="R19" s="3">
        <v>33.807351750000002</v>
      </c>
      <c r="AF19" s="3">
        <v>46.0887456032251</v>
      </c>
      <c r="AG19" s="3">
        <v>27.823215749999999</v>
      </c>
    </row>
    <row r="20" spans="1:33" x14ac:dyDescent="0.3">
      <c r="A20" s="34">
        <v>53.472347020587456</v>
      </c>
      <c r="B20" s="34">
        <v>33.332146499999986</v>
      </c>
      <c r="Q20" s="3">
        <v>49.424166424924415</v>
      </c>
      <c r="R20" s="3">
        <v>34.492205249999991</v>
      </c>
      <c r="AF20" s="3">
        <v>45.795672129233282</v>
      </c>
      <c r="AG20" s="3">
        <v>30.440331750000002</v>
      </c>
    </row>
    <row r="21" spans="1:33" x14ac:dyDescent="0.3">
      <c r="A21" s="34">
        <v>53.684009106545837</v>
      </c>
      <c r="B21" s="34">
        <v>30.669691499999999</v>
      </c>
      <c r="Q21" s="3">
        <v>43.951644871961122</v>
      </c>
      <c r="R21" s="3">
        <v>28.546115249999996</v>
      </c>
      <c r="AF21" s="3">
        <v>45.936918600518943</v>
      </c>
      <c r="AG21" s="3">
        <v>27.471532499999995</v>
      </c>
    </row>
    <row r="22" spans="1:33" x14ac:dyDescent="0.3">
      <c r="A22" s="34">
        <v>57.86460978396741</v>
      </c>
      <c r="B22" s="34">
        <v>33.5500185</v>
      </c>
      <c r="Q22" s="3">
        <v>46.151448228987825</v>
      </c>
      <c r="R22" s="3">
        <v>31.367919750000009</v>
      </c>
      <c r="AF22" s="3">
        <v>45.777947723079571</v>
      </c>
      <c r="AG22" s="3">
        <v>29.243807999999998</v>
      </c>
    </row>
    <row r="23" spans="1:33" x14ac:dyDescent="0.3">
      <c r="A23" s="34">
        <v>56.729361996672701</v>
      </c>
      <c r="B23" s="34">
        <v>32.729607000000009</v>
      </c>
      <c r="Q23" s="3">
        <v>45.994622379168909</v>
      </c>
      <c r="R23" s="3">
        <v>30.749531999999999</v>
      </c>
      <c r="AF23" s="3">
        <v>45.346607695934523</v>
      </c>
      <c r="AG23" s="3">
        <v>28.863998249999995</v>
      </c>
    </row>
    <row r="24" spans="1:33" x14ac:dyDescent="0.3">
      <c r="A24" s="34">
        <v>53.770199440768955</v>
      </c>
      <c r="B24" s="34">
        <v>30.141344249999992</v>
      </c>
      <c r="Q24" s="3">
        <v>43.83313134031355</v>
      </c>
      <c r="R24" s="3">
        <v>32.148092250000005</v>
      </c>
      <c r="AF24" s="3">
        <v>43.41713646096926</v>
      </c>
      <c r="AG24" s="3">
        <v>29.688438750000003</v>
      </c>
    </row>
    <row r="25" spans="1:33" x14ac:dyDescent="0.3">
      <c r="A25" s="34">
        <v>50.89181766308608</v>
      </c>
      <c r="B25" s="34">
        <v>35.741998500000001</v>
      </c>
      <c r="Q25" s="3">
        <v>50.578872679886501</v>
      </c>
      <c r="R25" s="3">
        <v>31.791449249999999</v>
      </c>
      <c r="AF25" s="3">
        <v>45.200198431230774</v>
      </c>
      <c r="AG25" s="3">
        <v>27.814864499999988</v>
      </c>
    </row>
    <row r="26" spans="1:33" x14ac:dyDescent="0.3">
      <c r="A26" s="34">
        <v>45.512299084915291</v>
      </c>
      <c r="B26" s="34">
        <v>25.433508749999998</v>
      </c>
      <c r="Q26" s="3">
        <v>50.720049692816069</v>
      </c>
      <c r="R26" s="3">
        <v>31.397703750000002</v>
      </c>
      <c r="AF26" s="3">
        <v>42.500938175975627</v>
      </c>
      <c r="AG26" s="3">
        <v>24.756420000000002</v>
      </c>
    </row>
    <row r="27" spans="1:33" x14ac:dyDescent="0.3">
      <c r="A27" s="34">
        <v>45.859288904731315</v>
      </c>
      <c r="B27" s="34">
        <v>27.196617</v>
      </c>
      <c r="Q27" s="3">
        <v>50.297905028217286</v>
      </c>
      <c r="R27" s="3">
        <v>56.954836499999999</v>
      </c>
      <c r="AF27" s="3">
        <v>49.269402128023245</v>
      </c>
      <c r="AG27" s="3">
        <v>28.080485249999995</v>
      </c>
    </row>
    <row r="28" spans="1:33" x14ac:dyDescent="0.3">
      <c r="A28" s="34">
        <v>46.573442406676129</v>
      </c>
      <c r="B28" s="34">
        <v>32.637883500000001</v>
      </c>
      <c r="Q28" s="3">
        <v>54.064741372637663</v>
      </c>
      <c r="R28" s="3">
        <v>32.617483499999999</v>
      </c>
      <c r="AF28" s="3">
        <v>48.482748751619624</v>
      </c>
      <c r="AG28" s="3">
        <v>27.225967499999999</v>
      </c>
    </row>
    <row r="29" spans="1:33" x14ac:dyDescent="0.3">
      <c r="A29" s="34">
        <v>46.799884461201209</v>
      </c>
      <c r="B29" s="34">
        <v>32.449514999999998</v>
      </c>
      <c r="Q29" s="3">
        <v>55.336167810641292</v>
      </c>
      <c r="R29" s="3">
        <v>28.136368500000003</v>
      </c>
      <c r="AE29" t="s">
        <v>19</v>
      </c>
      <c r="AF29" s="3">
        <v>53.336341058677156</v>
      </c>
      <c r="AG29" s="3">
        <v>28.409091000000004</v>
      </c>
    </row>
    <row r="30" spans="1:33" x14ac:dyDescent="0.3">
      <c r="A30" s="34">
        <v>45.741180733422361</v>
      </c>
      <c r="B30" s="34">
        <v>33.673642499999993</v>
      </c>
      <c r="Q30" s="3">
        <v>59.055967873399403</v>
      </c>
      <c r="R30" s="3">
        <v>30.345229499999999</v>
      </c>
    </row>
    <row r="31" spans="1:33" x14ac:dyDescent="0.3">
      <c r="A31" s="34">
        <v>46.416044462642454</v>
      </c>
      <c r="B31" s="34">
        <v>34.113657749999994</v>
      </c>
      <c r="Q31" s="3">
        <v>56.854085063476106</v>
      </c>
      <c r="R31" s="3">
        <v>31.400929500000004</v>
      </c>
    </row>
    <row r="32" spans="1:33" x14ac:dyDescent="0.3">
      <c r="A32" s="34">
        <v>46.973123445542662</v>
      </c>
      <c r="B32" s="34">
        <v>31.747074816666668</v>
      </c>
      <c r="Q32" s="3">
        <v>57.928681904151233</v>
      </c>
      <c r="R32" s="3">
        <v>28.609125750000004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DECEMBER 2021</vt:lpstr>
      <vt:lpstr>JANUARY 2022</vt:lpstr>
      <vt:lpstr>FEBRUARY 2022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latha</dc:creator>
  <cp:lastModifiedBy>HP</cp:lastModifiedBy>
  <dcterms:created xsi:type="dcterms:W3CDTF">2022-05-24T20:28:57Z</dcterms:created>
  <dcterms:modified xsi:type="dcterms:W3CDTF">2022-05-30T05:11:51Z</dcterms:modified>
</cp:coreProperties>
</file>